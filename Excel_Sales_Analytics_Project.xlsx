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A5BF5209-E7CE-4BC2-9DA5-03B2DD98E75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Sales Data" sheetId="2" r:id="rId2"/>
  </sheets>
  <definedNames>
    <definedName name="_xlnm._FilterDatabase" localSheetId="1" hidden="1">'Sales Data'!$A$1:$K$301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0" i="1"/>
  <c r="H19" i="1"/>
  <c r="H18" i="1"/>
  <c r="H17" i="1"/>
  <c r="H16" i="1"/>
  <c r="H15" i="1"/>
  <c r="H14" i="1"/>
  <c r="H13" i="1"/>
  <c r="E13" i="1"/>
  <c r="B13" i="1"/>
  <c r="H12" i="1"/>
  <c r="E12" i="1"/>
  <c r="B12" i="1"/>
  <c r="H11" i="1"/>
  <c r="E11" i="1"/>
  <c r="B11" i="1"/>
  <c r="H10" i="1"/>
  <c r="E10" i="1"/>
  <c r="B10" i="1"/>
  <c r="G5" i="1"/>
  <c r="E5" i="1"/>
  <c r="C5" i="1"/>
  <c r="A5" i="1"/>
</calcChain>
</file>

<file path=xl/sharedStrings.xml><?xml version="1.0" encoding="utf-8"?>
<sst xmlns="http://schemas.openxmlformats.org/spreadsheetml/2006/main" count="1846" uniqueCount="362">
  <si>
    <t>SALES ANALYTICS DASHBOARD</t>
  </si>
  <si>
    <t>Practice project • Sample transactions • Year 2025</t>
  </si>
  <si>
    <t>Total Revenue</t>
  </si>
  <si>
    <t>Total Orders</t>
  </si>
  <si>
    <t>Units Sold</t>
  </si>
  <si>
    <t>Avg. Revenue / Order</t>
  </si>
  <si>
    <t>Revenue by Category</t>
  </si>
  <si>
    <t>Revenue by Region</t>
  </si>
  <si>
    <t>Monthly Revenue</t>
  </si>
  <si>
    <t>Category</t>
  </si>
  <si>
    <t>Revenue (₹)</t>
  </si>
  <si>
    <t>Region</t>
  </si>
  <si>
    <t>Month</t>
  </si>
  <si>
    <t>Accessories</t>
  </si>
  <si>
    <t>West</t>
  </si>
  <si>
    <t>Jan</t>
  </si>
  <si>
    <t>Electronics</t>
  </si>
  <si>
    <t>North</t>
  </si>
  <si>
    <t>Feb</t>
  </si>
  <si>
    <t>Furniture</t>
  </si>
  <si>
    <t>South</t>
  </si>
  <si>
    <t>Mar</t>
  </si>
  <si>
    <t>Stationery</t>
  </si>
  <si>
    <t>East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</si>
  <si>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</si>
  <si>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</si>
  <si>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</si>
  <si>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</si>
  <si>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</si>
  <si>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</si>
  <si>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</si>
  <si>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</si>
  <si>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</si>
  <si>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Order ID</t>
  </si>
  <si>
    <t>Order Date</t>
  </si>
  <si>
    <t>City</t>
  </si>
  <si>
    <t>Product</t>
  </si>
  <si>
    <t>Quantity</t>
  </si>
  <si>
    <t>Unit Price (₹)</t>
  </si>
  <si>
    <t>Discount</t>
  </si>
  <si>
    <t>Sales Channel</t>
  </si>
  <si>
    <t>ORD0266</t>
  </si>
  <si>
    <t>Mumbai</t>
  </si>
  <si>
    <t>Office Chair</t>
  </si>
  <si>
    <t>Online</t>
  </si>
  <si>
    <t>ORD0223</t>
  </si>
  <si>
    <t>USB Drive</t>
  </si>
  <si>
    <t>Distributor</t>
  </si>
  <si>
    <t>ORD0126</t>
  </si>
  <si>
    <t>Thane</t>
  </si>
  <si>
    <t>Retail</t>
  </si>
  <si>
    <t>ORD0297</t>
  </si>
  <si>
    <t>Headphones</t>
  </si>
  <si>
    <t>ORD0160</t>
  </si>
  <si>
    <t>Nashik</t>
  </si>
  <si>
    <t>ORD0290</t>
  </si>
  <si>
    <t>Pune</t>
  </si>
  <si>
    <t>Monitor</t>
  </si>
  <si>
    <t>ORD0122</t>
  </si>
  <si>
    <t>Nagpur</t>
  </si>
  <si>
    <t>ORD0253</t>
  </si>
  <si>
    <t>ORD0035</t>
  </si>
  <si>
    <t>Keyboard</t>
  </si>
  <si>
    <t>ORD0047</t>
  </si>
  <si>
    <t>ORD0172</t>
  </si>
  <si>
    <t>Desk</t>
  </si>
  <si>
    <t>ORD0062</t>
  </si>
  <si>
    <t>ORD0198</t>
  </si>
  <si>
    <t>Mouse</t>
  </si>
  <si>
    <t>ORD0158</t>
  </si>
  <si>
    <t>Laptop</t>
  </si>
  <si>
    <t>ORD0178</t>
  </si>
  <si>
    <t>Bengaluru</t>
  </si>
  <si>
    <t>ORD0154</t>
  </si>
  <si>
    <t>ORD0176</t>
  </si>
  <si>
    <t>Pen Pack</t>
  </si>
  <si>
    <t>ORD0237</t>
  </si>
  <si>
    <t>ORD0149</t>
  </si>
  <si>
    <t>ORD0186</t>
  </si>
  <si>
    <t>ORD0152</t>
  </si>
  <si>
    <t>ORD0120</t>
  </si>
  <si>
    <t>Chennai</t>
  </si>
  <si>
    <t>ORD0213</t>
  </si>
  <si>
    <t>ORD0044</t>
  </si>
  <si>
    <t>Delhi</t>
  </si>
  <si>
    <t>ORD0037</t>
  </si>
  <si>
    <t>ORD0073</t>
  </si>
  <si>
    <t>ORD0196</t>
  </si>
  <si>
    <t>ORD0206</t>
  </si>
  <si>
    <t>ORD0114</t>
  </si>
  <si>
    <t>ORD0286</t>
  </si>
  <si>
    <t>ORD0199</t>
  </si>
  <si>
    <t>Notebook</t>
  </si>
  <si>
    <t>ORD0293</t>
  </si>
  <si>
    <t>ORD0021</t>
  </si>
  <si>
    <t>ORD0097</t>
  </si>
  <si>
    <t>ORD0155</t>
  </si>
  <si>
    <t>ORD0005</t>
  </si>
  <si>
    <t>ORD0287</t>
  </si>
  <si>
    <t>ORD0084</t>
  </si>
  <si>
    <t>ORD0119</t>
  </si>
  <si>
    <t>ORD0096</t>
  </si>
  <si>
    <t>ORD0289</t>
  </si>
  <si>
    <t>ORD0014</t>
  </si>
  <si>
    <t>ORD0085</t>
  </si>
  <si>
    <t>ORD0064</t>
  </si>
  <si>
    <t>ORD0245</t>
  </si>
  <si>
    <t>ORD0010</t>
  </si>
  <si>
    <t>ORD0230</t>
  </si>
  <si>
    <t>ORD0150</t>
  </si>
  <si>
    <t>ORD0052</t>
  </si>
  <si>
    <t>ORD0217</t>
  </si>
  <si>
    <t>ORD0148</t>
  </si>
  <si>
    <t>ORD0032</t>
  </si>
  <si>
    <t>ORD0028</t>
  </si>
  <si>
    <t>ORD0224</t>
  </si>
  <si>
    <t>ORD0190</t>
  </si>
  <si>
    <t>ORD0226</t>
  </si>
  <si>
    <t>ORD0215</t>
  </si>
  <si>
    <t>ORD0050</t>
  </si>
  <si>
    <t>ORD0238</t>
  </si>
  <si>
    <t>ORD0026</t>
  </si>
  <si>
    <t>ORD0210</t>
  </si>
  <si>
    <t>ORD0180</t>
  </si>
  <si>
    <t>ORD0002</t>
  </si>
  <si>
    <t>ORD0236</t>
  </si>
  <si>
    <t>ORD0254</t>
  </si>
  <si>
    <t>ORD0246</t>
  </si>
  <si>
    <t>ORD0200</t>
  </si>
  <si>
    <t>ORD0174</t>
  </si>
  <si>
    <t>ORD0222</t>
  </si>
  <si>
    <t>ORD0188</t>
  </si>
  <si>
    <t>ORD0041</t>
  </si>
  <si>
    <t>ORD0242</t>
  </si>
  <si>
    <t>ORD0279</t>
  </si>
  <si>
    <t>ORD0011</t>
  </si>
  <si>
    <t>ORD0256</t>
  </si>
  <si>
    <t>ORD0095</t>
  </si>
  <si>
    <t>ORD0195</t>
  </si>
  <si>
    <t>ORD0058</t>
  </si>
  <si>
    <t>ORD0078</t>
  </si>
  <si>
    <t>ORD0054</t>
  </si>
  <si>
    <t>ORD0007</t>
  </si>
  <si>
    <t>ORD0057</t>
  </si>
  <si>
    <t>ORD0261</t>
  </si>
  <si>
    <t>ORD0156</t>
  </si>
  <si>
    <t>ORD0197</t>
  </si>
  <si>
    <t>ORD0089</t>
  </si>
  <si>
    <t>ORD0070</t>
  </si>
  <si>
    <t>ORD0275</t>
  </si>
  <si>
    <t>ORD0263</t>
  </si>
  <si>
    <t>ORD0252</t>
  </si>
  <si>
    <t>ORD0099</t>
  </si>
  <si>
    <t>ORD0235</t>
  </si>
  <si>
    <t>ORD0107</t>
  </si>
  <si>
    <t>ORD0169</t>
  </si>
  <si>
    <t>ORD0019</t>
  </si>
  <si>
    <t>ORD0232</t>
  </si>
  <si>
    <t>ORD0157</t>
  </si>
  <si>
    <t>ORD0225</t>
  </si>
  <si>
    <t>ORD0161</t>
  </si>
  <si>
    <t>ORD0264</t>
  </si>
  <si>
    <t>ORD0273</t>
  </si>
  <si>
    <t>ORD0034</t>
  </si>
  <si>
    <t>ORD0043</t>
  </si>
  <si>
    <t>ORD0115</t>
  </si>
  <si>
    <t>ORD0203</t>
  </si>
  <si>
    <t>ORD0138</t>
  </si>
  <si>
    <t>ORD0212</t>
  </si>
  <si>
    <t>ORD0177</t>
  </si>
  <si>
    <t>ORD0016</t>
  </si>
  <si>
    <t>ORD0023</t>
  </si>
  <si>
    <t>ORD0285</t>
  </si>
  <si>
    <t>ORD0059</t>
  </si>
  <si>
    <t>ORD0277</t>
  </si>
  <si>
    <t>ORD0162</t>
  </si>
  <si>
    <t>ORD0208</t>
  </si>
  <si>
    <t>ORD0243</t>
  </si>
  <si>
    <t>ORD0192</t>
  </si>
  <si>
    <t>ORD0163</t>
  </si>
  <si>
    <t>ORD0276</t>
  </si>
  <si>
    <t>ORD0123</t>
  </si>
  <si>
    <t>ORD0168</t>
  </si>
  <si>
    <t>ORD0017</t>
  </si>
  <si>
    <t>ORD0227</t>
  </si>
  <si>
    <t>ORD0267</t>
  </si>
  <si>
    <t>ORD0121</t>
  </si>
  <si>
    <t>ORD0018</t>
  </si>
  <si>
    <t>ORD0181</t>
  </si>
  <si>
    <t>ORD0098</t>
  </si>
  <si>
    <t>ORD0003</t>
  </si>
  <si>
    <t>ORD0129</t>
  </si>
  <si>
    <t>ORD0299</t>
  </si>
  <si>
    <t>ORD0036</t>
  </si>
  <si>
    <t>ORD0209</t>
  </si>
  <si>
    <t>ORD0207</t>
  </si>
  <si>
    <t>ORD0296</t>
  </si>
  <si>
    <t>ORD0134</t>
  </si>
  <si>
    <t>ORD0281</t>
  </si>
  <si>
    <t>ORD0071</t>
  </si>
  <si>
    <t>ORD0151</t>
  </si>
  <si>
    <t>ORD0083</t>
  </si>
  <si>
    <t>ORD0103</t>
  </si>
  <si>
    <t>ORD0265</t>
  </si>
  <si>
    <t>ORD0125</t>
  </si>
  <si>
    <t>ORD0140</t>
  </si>
  <si>
    <t>ORD0241</t>
  </si>
  <si>
    <t>ORD0109</t>
  </si>
  <si>
    <t>ORD0117</t>
  </si>
  <si>
    <t>ORD0040</t>
  </si>
  <si>
    <t>ORD0077</t>
  </si>
  <si>
    <t>ORD0233</t>
  </si>
  <si>
    <t>ORD0130</t>
  </si>
  <si>
    <t>ORD0142</t>
  </si>
  <si>
    <t>ORD0063</t>
  </si>
  <si>
    <t>ORD0283</t>
  </si>
  <si>
    <t>ORD0183</t>
  </si>
  <si>
    <t>ORD0257</t>
  </si>
  <si>
    <t>ORD0091</t>
  </si>
  <si>
    <t>ORD0015</t>
  </si>
  <si>
    <t>ORD0030</t>
  </si>
  <si>
    <t>ORD0081</t>
  </si>
  <si>
    <t>ORD0136</t>
  </si>
  <si>
    <t>ORD0248</t>
  </si>
  <si>
    <t>ORD0033</t>
  </si>
  <si>
    <t>ORD0053</t>
  </si>
  <si>
    <t>ORD0259</t>
  </si>
  <si>
    <t>ORD0294</t>
  </si>
  <si>
    <t>ORD0234</t>
  </si>
  <si>
    <t>ORD0066</t>
  </si>
  <si>
    <t>ORD0131</t>
  </si>
  <si>
    <t>ORD0262</t>
  </si>
  <si>
    <t>ORD0145</t>
  </si>
  <si>
    <t>ORD0146</t>
  </si>
  <si>
    <t>ORD0171</t>
  </si>
  <si>
    <t>ORD0141</t>
  </si>
  <si>
    <t>ORD0278</t>
  </si>
  <si>
    <t>ORD0046</t>
  </si>
  <si>
    <t>ORD0166</t>
  </si>
  <si>
    <t>ORD0184</t>
  </si>
  <si>
    <t>ORD0069</t>
  </si>
  <si>
    <t>ORD0153</t>
  </si>
  <si>
    <t>ORD0074</t>
  </si>
  <si>
    <t>ORD0113</t>
  </si>
  <si>
    <t>ORD0247</t>
  </si>
  <si>
    <t>ORD0211</t>
  </si>
  <si>
    <t>ORD0022</t>
  </si>
  <si>
    <t>ORD0013</t>
  </si>
  <si>
    <t>ORD0112</t>
  </si>
  <si>
    <t>ORD0175</t>
  </si>
  <si>
    <t>ORD0272</t>
  </si>
  <si>
    <t>ORD0288</t>
  </si>
  <si>
    <t>ORD0182</t>
  </si>
  <si>
    <t>ORD0173</t>
  </si>
  <si>
    <t>ORD0068</t>
  </si>
  <si>
    <t>ORD0027</t>
  </si>
  <si>
    <t>ORD0231</t>
  </si>
  <si>
    <t>ORD0216</t>
  </si>
  <si>
    <t>ORD0239</t>
  </si>
  <si>
    <t>ORD0185</t>
  </si>
  <si>
    <t>ORD0020</t>
  </si>
  <si>
    <t>ORD0170</t>
  </si>
  <si>
    <t>ORD0128</t>
  </si>
  <si>
    <t>ORD0075</t>
  </si>
  <si>
    <t>ORD0080</t>
  </si>
  <si>
    <t>ORD0008</t>
  </si>
  <si>
    <t>ORD0056</t>
  </si>
  <si>
    <t>ORD0105</t>
  </si>
  <si>
    <t>ORD0042</t>
  </si>
  <si>
    <t>ORD0191</t>
  </si>
  <si>
    <t>ORD0086</t>
  </si>
  <si>
    <t>ORD0093</t>
  </si>
  <si>
    <t>ORD0249</t>
  </si>
  <si>
    <t>ORD0067</t>
  </si>
  <si>
    <t>ORD0092</t>
  </si>
  <si>
    <t>ORD0143</t>
  </si>
  <si>
    <t>ORD0006</t>
  </si>
  <si>
    <t>ORD0214</t>
  </si>
  <si>
    <t>ORD0292</t>
  </si>
  <si>
    <t>ORD0127</t>
  </si>
  <si>
    <t>ORD0106</t>
  </si>
  <si>
    <t>ORD0270</t>
  </si>
  <si>
    <t>ORD0139</t>
  </si>
  <si>
    <t>ORD0060</t>
  </si>
  <si>
    <t>ORD0055</t>
  </si>
  <si>
    <t>ORD0274</t>
  </si>
  <si>
    <t>ORD0116</t>
  </si>
  <si>
    <t>ORD0137</t>
  </si>
  <si>
    <t>ORD0110</t>
  </si>
  <si>
    <t>ORD0269</t>
  </si>
  <si>
    <t>ORD0194</t>
  </si>
  <si>
    <t>ORD0009</t>
  </si>
  <si>
    <t>ORD0004</t>
  </si>
  <si>
    <t>ORD0051</t>
  </si>
  <si>
    <t>ORD0024</t>
  </si>
  <si>
    <t>ORD0079</t>
  </si>
  <si>
    <t>ORD0132</t>
  </si>
  <si>
    <t>ORD0102</t>
  </si>
  <si>
    <t>ORD0271</t>
  </si>
  <si>
    <t>ORD0251</t>
  </si>
  <si>
    <t>ORD0048</t>
  </si>
  <si>
    <t>ORD0031</t>
  </si>
  <si>
    <t>ORD0193</t>
  </si>
  <si>
    <t>ORD0029</t>
  </si>
  <si>
    <t>ORD0298</t>
  </si>
  <si>
    <t>ORD0133</t>
  </si>
  <si>
    <t>ORD0101</t>
  </si>
  <si>
    <t>ORD0088</t>
  </si>
  <si>
    <t>ORD0221</t>
  </si>
  <si>
    <t>ORD0090</t>
  </si>
  <si>
    <t>ORD0147</t>
  </si>
  <si>
    <t>ORD0220</t>
  </si>
  <si>
    <t>ORD0039</t>
  </si>
  <si>
    <t>ORD0104</t>
  </si>
  <si>
    <t>ORD0187</t>
  </si>
  <si>
    <t>ORD0244</t>
  </si>
  <si>
    <t>ORD0204</t>
  </si>
  <si>
    <t>ORD0255</t>
  </si>
  <si>
    <t>ORD0124</t>
  </si>
  <si>
    <t>ORD0164</t>
  </si>
  <si>
    <t>ORD0202</t>
  </si>
  <si>
    <t>ORD0118</t>
  </si>
  <si>
    <t>ORD0240</t>
  </si>
  <si>
    <t>ORD0229</t>
  </si>
  <si>
    <t>ORD0076</t>
  </si>
  <si>
    <t>ORD0291</t>
  </si>
  <si>
    <t>ORD0250</t>
  </si>
  <si>
    <t>ORD0072</t>
  </si>
  <si>
    <t>ORD0295</t>
  </si>
  <si>
    <t>ORD0219</t>
  </si>
  <si>
    <t>ORD0045</t>
  </si>
  <si>
    <t>ORD0167</t>
  </si>
  <si>
    <t>ORD0065</t>
  </si>
  <si>
    <t>ORD0260</t>
  </si>
  <si>
    <t>ORD0205</t>
  </si>
  <si>
    <t>ORD0094</t>
  </si>
  <si>
    <t>ORD0228</t>
  </si>
  <si>
    <t>ORD0061</t>
  </si>
  <si>
    <t>ORD0001</t>
  </si>
  <si>
    <t>ORD0025</t>
  </si>
  <si>
    <t>ORD0082</t>
  </si>
  <si>
    <t>ORD0111</t>
  </si>
  <si>
    <t>ORD0012</t>
  </si>
  <si>
    <t>ORD0038</t>
  </si>
  <si>
    <t>ORD0284</t>
  </si>
  <si>
    <t>ORD0087</t>
  </si>
  <si>
    <t>ORD0268</t>
  </si>
  <si>
    <t>ORD0280</t>
  </si>
  <si>
    <t>ORD0108</t>
  </si>
  <si>
    <t>ORD0300</t>
  </si>
  <si>
    <t>ORD0100</t>
  </si>
  <si>
    <t>ORD0258</t>
  </si>
  <si>
    <t>ORD0189</t>
  </si>
  <si>
    <t>ORD0144</t>
  </si>
  <si>
    <t>ORD0179</t>
  </si>
  <si>
    <t>ORD0049</t>
  </si>
  <si>
    <t>ORD0282</t>
  </si>
  <si>
    <t>ORD0201</t>
  </si>
  <si>
    <t>ORD0135</t>
  </si>
  <si>
    <t>ORD0159</t>
  </si>
  <si>
    <t>ORD0165</t>
  </si>
  <si>
    <t>ORD0218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</si>
</sst>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d\-mmm\-yyyy"/>
    <numFmt numFmtId="166" formatCode="\₹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20"/>
      <color rgb="FFFFFFFF"/>
      <name val="Calibri"/>
    </font>
    <font>
      <i/>
      <sz val="11"/>
      <color rgb="FF666666"/>
      <name val="Calibri"/>
    </font>
    <font>
      <b/>
      <sz val="15"/>
      <color rgb="FF1F1F1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0" xfId="0" applyFont="1" applyFill="1" applyAlignment="1">
      <alignment horizontal="center"/>
    </xf>
    <xf numFmtId="166" fontId="4" fillId="4" borderId="0" xfId="0" applyNumberFormat="1" applyFont="1" applyFill="1" applyAlignment="1">
      <alignment horizontal="center"/>
    </xf>
    <xf numFmtId="3" fontId="4" fillId="4" borderId="0" xfId="0" applyNumberFormat="1" applyFont="1" applyFill="1" applyAlignment="1">
      <alignment horizontal="center"/>
    </xf>
    <xf numFmtId="0" fontId="1" fillId="2" borderId="0" xfId="0" applyFont="1" applyFill="1"/>
    <xf numFmtId="0" fontId="5" fillId="4" borderId="0" xfId="0" applyFont="1" applyFill="1" applyAlignment="1">
      <alignment horizontal="center"/>
    </xf>
    <xf numFmtId="0" fontId="5" fillId="4" borderId="0" xfId="0" applyFont="1" applyFill="1"/>
    <xf numFmtId="166" fontId="0" fillId="0" borderId="0" xfId="0" applyNumberFormat="1"/>
    <xf numFmtId="0" fontId="1" fillId="2" borderId="0" xfId="0" applyFont="1" applyFill="1" applyAlignment="1">
      <alignment horizontal="center" vertical="center"/>
    </xf>
    <xf numFmtId="165" fontId="0" fillId="0" borderId="0" xfId="0" applyNumberFormat="1"/>
    <xf numFmtId="9" fontId="0" fillId="0" borderId="0" xfId="0" applyNumberFormat="1"/>
    <xf numFmtId="0" fontId="3" fillId="0" borderId="0" xfId="0" applyFont="1"/>
    <xf numFmtId="0" fontId="0" fillId="0" borderId="0" xfId="0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Revenue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Dashboard!$B$9</c:f>
              <c:strCache>
                <c:ptCount val="1"/>
                <c:pt idx="0">
                  <c:v>Revenue (₹)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Dashboard!$A$10:$A$13</c:f>
              <c:strCache>
                <c:ptCount val="4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Stationery</c:v>
                </c:pt>
              </c:strCache>
            </c:strRef>
          </c:cat>
          <c:val>
            <c:numRef>
              <c:f>Dashboard!$B$10:$B$13</c:f>
              <c:numCache>
                <c:formatCode>\₹#,##0.00</c:formatCode>
                <c:ptCount val="4"/>
                <c:pt idx="0">
                  <c:v>378318.8000000001</c:v>
                </c:pt>
                <c:pt idx="1">
                  <c:v>7525132.9500000002</c:v>
                </c:pt>
                <c:pt idx="2">
                  <c:v>2349588.4700000007</c:v>
                </c:pt>
                <c:pt idx="3">
                  <c:v>28814.529999999992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EA-4B9D-9B76-3424EB1CC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overlay val="1"/>
        </c:title>
        <c:numFmt formatCode="\₹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Monthly Revenue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Dashboard!$H$9</c:f>
              <c:strCache>
                <c:ptCount val="1"/>
                <c:pt idx="0">
                  <c:v>Revenue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Dashboard!$G$10:$G$21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Dashboard!$H$10:$H$21</c:f>
              <c:numCache>
                <c:formatCode>\₹#,##0.00</c:formatCode>
                <c:ptCount val="12"/>
                <c:pt idx="0">
                  <c:v>594484.93000000005</c:v>
                </c:pt>
                <c:pt idx="1">
                  <c:v>1225661.4900000005</c:v>
                </c:pt>
                <c:pt idx="2">
                  <c:v>1050294.4200000002</c:v>
                </c:pt>
                <c:pt idx="3">
                  <c:v>759875.83999999985</c:v>
                </c:pt>
                <c:pt idx="4">
                  <c:v>808066.20999999985</c:v>
                </c:pt>
                <c:pt idx="5">
                  <c:v>892979.76000000024</c:v>
                </c:pt>
                <c:pt idx="6">
                  <c:v>1189705.7</c:v>
                </c:pt>
                <c:pt idx="7">
                  <c:v>934645.84</c:v>
                </c:pt>
                <c:pt idx="8">
                  <c:v>884721.34000000008</c:v>
                </c:pt>
                <c:pt idx="9">
                  <c:v>863552.7</c:v>
                </c:pt>
                <c:pt idx="10">
                  <c:v>597164.21</c:v>
                </c:pt>
                <c:pt idx="11">
                  <c:v>480702.31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79C-4348-8584-5DD2A56C5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 (₹)</a:t>
                </a:r>
              </a:p>
            </c:rich>
          </c:tx>
          <c:overlay val="1"/>
        </c:title>
        <c:numFmt formatCode="\₹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16</xdr:row>
      <xdr:rowOff>0</xdr:rowOff>
    </xdr:from>
    <xdr:ext cx="46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showGridLines="0" workbookViewId="0">
      <pane ySplit="3" topLeftCell="A4" activePane="bottomLeft" state="frozen"/>
      <selection pane="bottomLeft" sqref="A1:H1"/>
    </sheetView>
  </sheetViews>
  <sheetFormatPr defaultRowHeight="15" x14ac:dyDescent="0.25"/>
  <cols>
    <col min="1" max="1" width="24" customWidth="1"/>
    <col min="2" max="2" width="19" customWidth="1"/>
    <col min="3" max="3" width="18" customWidth="1"/>
    <col min="4" max="4" width="20" customWidth="1"/>
    <col min="5" max="5" width="19" customWidth="1"/>
    <col min="6" max="6" width="4" customWidth="1"/>
    <col min="7" max="7" width="18" customWidth="1"/>
    <col min="8" max="8" width="20" customWidth="1"/>
  </cols>
  <sheetData>
    <row r="1" spans="1:8" ht="21.95" customHeight="1" x14ac:dyDescent="0.4">
      <c r="A1" s="13" t="s">
        <v>0</v>
      </c>
      <c r="B1" s="12"/>
      <c r="C1" s="12"/>
      <c r="D1" s="12"/>
      <c r="E1" s="12"/>
      <c r="F1" s="12"/>
      <c r="G1" s="12"/>
      <c r="H1" s="12"/>
    </row>
    <row r="2" spans="1:8" ht="21.95" customHeight="1" x14ac:dyDescent="0.25">
      <c r="A2" s="11" t="s">
        <v>1</v>
      </c>
      <c r="B2" s="12"/>
      <c r="C2" s="12"/>
      <c r="D2" s="12"/>
      <c r="E2" s="12"/>
      <c r="F2" s="12"/>
      <c r="G2" s="12"/>
      <c r="H2" s="12"/>
    </row>
    <row r="3" spans="1:8" ht="21.95" customHeight="1" x14ac:dyDescent="0.25"/>
    <row r="4" spans="1:8" ht="21.95" customHeight="1" x14ac:dyDescent="0.25">
      <c r="A4" s="1" t="s">
        <v>2</v>
      </c>
      <c r="C4" s="1" t="s">
        <v>3</v>
      </c>
      <c r="E4" s="1" t="s">
        <v>4</v>
      </c>
      <c r="G4" s="1" t="s">
        <v>5</v>
      </c>
    </row>
    <row r="5" spans="1:8" ht="21.95" customHeight="1" x14ac:dyDescent="0.3">
      <c r="A5" s="2">
        <f>SUM('Sales Data'!J2:J301)</f>
        <v>10281854.749999994</v>
      </c>
      <c r="C5" s="3">
        <f>COUNTA('Sales Data'!A2:A301)</f>
        <v>300</v>
      </c>
      <c r="E5" s="3">
        <f>SUM('Sales Data'!G2:G301)</f>
        <v>1381</v>
      </c>
      <c r="G5" s="2">
        <f>AVERAGE('Sales Data'!J2:J301)</f>
        <v>34272.849166666645</v>
      </c>
    </row>
    <row r="6" spans="1:8" ht="21.95" customHeight="1" x14ac:dyDescent="0.25"/>
    <row r="7" spans="1:8" ht="21.95" customHeight="1" x14ac:dyDescent="0.25"/>
    <row r="8" spans="1:8" ht="21.95" customHeight="1" x14ac:dyDescent="0.25">
      <c r="A8" s="4" t="s">
        <v>6</v>
      </c>
      <c r="D8" s="4" t="s">
        <v>7</v>
      </c>
      <c r="G8" s="4" t="s">
        <v>8</v>
      </c>
    </row>
    <row r="9" spans="1:8" ht="21.95" customHeight="1" x14ac:dyDescent="0.25">
      <c r="A9" s="5" t="s">
        <v>9</v>
      </c>
      <c r="B9" s="5" t="s">
        <v>10</v>
      </c>
      <c r="C9" s="6"/>
      <c r="D9" s="5" t="s">
        <v>11</v>
      </c>
      <c r="E9" s="5" t="s">
        <v>10</v>
      </c>
      <c r="F9" s="6"/>
      <c r="G9" s="5" t="s">
        <v>12</v>
      </c>
      <c r="H9" s="5" t="s">
        <v>10</v>
      </c>
    </row>
    <row r="10" spans="1:8" ht="21.95" customHeight="1" x14ac:dyDescent="0.25">
      <c r="A10" t="s">
        <v>13</v>
      </c>
      <c r="B10" s="7">
        <f>SUMIF('Sales Data'!$F$2:$F$301,A10,'Sales Data'!$J$2:$J$301)</f>
        <v>378318.8000000001</v>
      </c>
      <c r="D10" t="s">
        <v>14</v>
      </c>
      <c r="E10" s="7">
        <f>SUMIF('Sales Data'!$D$2:$D$301,D10,'Sales Data'!$J$2:$J$301)</f>
        <v>2557484.1099999994</v>
      </c>
      <c r="G10" t="s">
        <v>15</v>
      </c>
      <c r="H10" s="7">
        <f>SUMIFS('Sales Data'!$J$2:$J$301,'Sales Data'!$B$2:$B$301,"&gt;="&amp;DATE(2025,1,1),'Sales Data'!$B$2:$B$301,"&lt;"&amp;DATE(2025,2,1))</f>
        <v>594484.93000000005</v>
      </c>
    </row>
    <row r="11" spans="1:8" ht="21.95" customHeight="1" x14ac:dyDescent="0.25">
      <c r="A11" t="s">
        <v>16</v>
      </c>
      <c r="B11" s="7">
        <f>SUMIF('Sales Data'!$F$2:$F$301,A11,'Sales Data'!$J$2:$J$301)</f>
        <v>7525132.9500000002</v>
      </c>
      <c r="D11" t="s">
        <v>17</v>
      </c>
      <c r="E11" s="7">
        <f>SUMIF('Sales Data'!$D$2:$D$301,D11,'Sales Data'!$J$2:$J$301)</f>
        <v>2555228.8900000015</v>
      </c>
      <c r="G11" t="s">
        <v>18</v>
      </c>
      <c r="H11" s="7">
        <f>SUMIFS('Sales Data'!$J$2:$J$301,'Sales Data'!$B$2:$B$301,"&gt;="&amp;DATE(2025,2,1),'Sales Data'!$B$2:$B$301,"&lt;"&amp;DATE(2025,3,1))</f>
        <v>1225661.4900000005</v>
      </c>
    </row>
    <row r="12" spans="1:8" ht="21.95" customHeight="1" x14ac:dyDescent="0.25">
      <c r="A12" t="s">
        <v>19</v>
      </c>
      <c r="B12" s="7">
        <f>SUMIF('Sales Data'!$F$2:$F$301,A12,'Sales Data'!$J$2:$J$301)</f>
        <v>2349588.4700000007</v>
      </c>
      <c r="D12" t="s">
        <v>20</v>
      </c>
      <c r="E12" s="7">
        <f>SUMIF('Sales Data'!$D$2:$D$301,D12,'Sales Data'!$J$2:$J$301)</f>
        <v>2353534.5</v>
      </c>
      <c r="G12" t="s">
        <v>21</v>
      </c>
      <c r="H12" s="7">
        <f>SUMIFS('Sales Data'!$J$2:$J$301,'Sales Data'!$B$2:$B$301,"&gt;="&amp;DATE(2025,3,1),'Sales Data'!$B$2:$B$301,"&lt;"&amp;DATE(2025,4,1))</f>
        <v>1050294.4200000002</v>
      </c>
    </row>
    <row r="13" spans="1:8" ht="21.95" customHeight="1" x14ac:dyDescent="0.25">
      <c r="A13" t="s">
        <v>22</v>
      </c>
      <c r="B13" s="7">
        <f>SUMIF('Sales Data'!$F$2:$F$301,A13,'Sales Data'!$J$2:$J$301)</f>
        <v>28814.529999999992</v>
      </c>
      <c r="D13" t="s">
        <v>23</v>
      </c>
      <c r="E13" s="7">
        <f>SUMIF('Sales Data'!$D$2:$D$301,D13,'Sales Data'!$J$2:$J$301)</f>
        <v>2815607.2500000009</v>
      </c>
      <c r="G13" t="s">
        <v>24</v>
      </c>
      <c r="H13" s="7">
        <f>SUMIFS('Sales Data'!$J$2:$J$301,'Sales Data'!$B$2:$B$301,"&gt;="&amp;DATE(2025,4,1),'Sales Data'!$B$2:$B$301,"&lt;"&amp;DATE(2025,5,1))</f>
        <v>759875.83999999985</v>
      </c>
    </row>
    <row r="14" spans="1:8" ht="21.95" customHeight="1" x14ac:dyDescent="0.25">
      <c r="G14" t="s">
        <v>25</v>
      </c>
      <c r="H14" s="7">
        <f>SUMIFS('Sales Data'!$J$2:$J$301,'Sales Data'!$B$2:$B$301,"&gt;="&amp;DATE(2025,5,1),'Sales Data'!$B$2:$B$301,"&lt;"&amp;DATE(2025,6,1))</f>
        <v>808066.20999999985</v>
      </c>
    </row>
    <row r="15" spans="1:8" ht="21.95" customHeight="1" x14ac:dyDescent="0.25">
      <c r="G15" t="s">
        <v>26</v>
      </c>
      <c r="H15" s="7">
        <f>SUMIFS('Sales Data'!$J$2:$J$301,'Sales Data'!$B$2:$B$301,"&gt;="&amp;DATE(2025,6,1),'Sales Data'!$B$2:$B$301,"&lt;"&amp;DATE(2025,7,1))</f>
        <v>892979.76000000024</v>
      </c>
    </row>
    <row r="16" spans="1:8" ht="21.95" customHeight="1" x14ac:dyDescent="0.25">
      <c r="G16" t="s">
        <v>27</v>
      </c>
      <c r="H16" s="7">
        <f>SUMIFS('Sales Data'!$J$2:$J$301,'Sales Data'!$B$2:$B$301,"&gt;="&amp;DATE(2025,7,1),'Sales Data'!$B$2:$B$301,"&lt;"&amp;DATE(2025,8,1))</f>
        <v>1189705.7</v>
      </c>
    </row>
    <row r="17" spans="7:8" ht="21.95" customHeight="1" x14ac:dyDescent="0.25">
      <c r="G17" t="s">
        <v>28</v>
      </c>
      <c r="H17" s="7">
        <f>SUMIFS('Sales Data'!$J$2:$J$301,'Sales Data'!$B$2:$B$301,"&gt;="&amp;DATE(2025,8,1),'Sales Data'!$B$2:$B$301,"&lt;"&amp;DATE(2025,9,1))</f>
        <v>934645.84</v>
      </c>
    </row>
    <row r="18" spans="7:8" ht="21.95" customHeight="1" x14ac:dyDescent="0.25">
      <c r="G18" t="s">
        <v>29</v>
      </c>
      <c r="H18" s="7">
        <f>SUMIFS('Sales Data'!$J$2:$J$301,'Sales Data'!$B$2:$B$301,"&gt;="&amp;DATE(2025,9,1),'Sales Data'!$B$2:$B$301,"&lt;"&amp;DATE(2025,10,1))</f>
        <v>884721.34000000008</v>
      </c>
    </row>
    <row r="19" spans="7:8" ht="21.95" customHeight="1" x14ac:dyDescent="0.25">
      <c r="G19" t="s">
        <v>30</v>
      </c>
      <c r="H19" s="7">
        <f>SUMIFS('Sales Data'!$J$2:$J$301,'Sales Data'!$B$2:$B$301,"&gt;="&amp;DATE(2025,10,1),'Sales Data'!$B$2:$B$301,"&lt;"&amp;DATE(2025,11,1))</f>
        <v>863552.7</v>
      </c>
    </row>
    <row r="20" spans="7:8" ht="21.95" customHeight="1" x14ac:dyDescent="0.25">
      <c r="G20" t="s">
        <v>31</v>
      </c>
      <c r="H20" s="7">
        <f>SUMIFS('Sales Data'!$J$2:$J$301,'Sales Data'!$B$2:$B$301,"&gt;="&amp;DATE(2025,11,1),'Sales Data'!$B$2:$B$301,"&lt;"&amp;DATE(2025,12,1))</f>
        <v>597164.21</v>
      </c>
    </row>
    <row r="21" spans="7:8" ht="21.95" customHeight="1" x14ac:dyDescent="0.25">
      <c r="G21" t="s">
        <v>32</v>
      </c>
      <c r="H21" s="7">
        <f>SUMIFS('Sales Data'!$J$2:$J$301,'Sales Data'!$B$2:$B$301,"&gt;="&amp;DATE(2025,12,1),'Sales Data'!$B$2:$B$301,"&lt;"&amp;DATE(2025,2026,1))</f>
        <v>480702.31</v>
      </c>
    </row>
    <row r="22" spans="7:8" ht="21.95" customHeight="1" x14ac:dyDescent="0.25"/>
    <row r="23" spans="7:8" ht="21.95" customHeight="1" x14ac:dyDescent="0.25"/>
    <row r="24" spans="7:8" ht="21.95" customHeight="1" x14ac:dyDescent="0.25"/>
    <row r="25" spans="7:8" ht="21.95" customHeight="1" x14ac:dyDescent="0.25"/>
    <row r="26" spans="7:8" ht="21.95" customHeight="1" x14ac:dyDescent="0.25"/>
    <row r="27" spans="7:8" ht="21.95" customHeight="1" x14ac:dyDescent="0.25"/>
    <row r="28" spans="7:8" ht="21.95" customHeight="1" x14ac:dyDescent="0.25"/>
    <row r="29" spans="7:8" ht="21.95" customHeight="1" x14ac:dyDescent="0.25"/>
    <row r="30" spans="7:8" ht="21.95" customHeight="1" x14ac:dyDescent="0.25"/>
  </sheetData>
  <mergeCells count="2">
    <mergeCell ref="A2:H2"/>
    <mergeCell ref="A1:H1"/>
  </mergeCells>
  <conditionalFormatting sqref="B10:B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1"/>
  <sheetViews>
    <sheetView tabSelected="1" workbookViewId="0">
      <pane ySplit="1" topLeftCell="A2" activePane="bottomLeft" state="frozen"/>
      <selection pane="bottomLeft" activeCell="N16" sqref="N16"/>
    </sheetView>
  </sheetViews>
  <sheetFormatPr defaultRowHeight="15" x14ac:dyDescent="0.25"/>
  <cols>
    <col min="1" max="4" width="12" customWidth="1"/>
    <col min="5" max="5" width="14" customWidth="1"/>
    <col min="6" max="6" width="13" customWidth="1"/>
    <col min="7" max="7" width="12" customWidth="1"/>
    <col min="8" max="8" width="16" customWidth="1"/>
    <col min="9" max="9" width="12" customWidth="1"/>
    <col min="10" max="10" width="13" customWidth="1"/>
    <col min="11" max="11" width="15" customWidth="1"/>
  </cols>
  <sheetData>
    <row r="1" spans="1:11" x14ac:dyDescent="0.25">
      <c r="A1" s="8" t="s">
        <v>33</v>
      </c>
      <c r="B1" s="8" t="s">
        <v>34</v>
      </c>
      <c r="C1" s="8" t="s">
        <v>35</v>
      </c>
      <c r="D1" s="8" t="s">
        <v>11</v>
      </c>
      <c r="E1" s="8" t="s">
        <v>36</v>
      </c>
      <c r="F1" s="8" t="s">
        <v>9</v>
      </c>
      <c r="G1" s="8" t="s">
        <v>37</v>
      </c>
      <c r="H1" s="8" t="s">
        <v>38</v>
      </c>
      <c r="I1" s="8" t="s">
        <v>39</v>
      </c>
      <c r="J1" s="8" t="s">
        <v>10</v>
      </c>
      <c r="K1" s="8" t="s">
        <v>40</v>
      </c>
    </row>
    <row r="2" spans="1:11" x14ac:dyDescent="0.25">
      <c r="A2" t="s">
        <v>41</v>
      </c>
      <c r="B2" s="9">
        <v>45659</v>
      </c>
      <c r="C2" t="s">
        <v>42</v>
      </c>
      <c r="D2" t="s">
        <v>14</v>
      </c>
      <c r="E2" t="s">
        <v>43</v>
      </c>
      <c r="F2" t="s">
        <v>19</v>
      </c>
      <c r="G2">
        <v>2</v>
      </c>
      <c r="H2" s="7">
        <v>8274.39</v>
      </c>
      <c r="I2" s="10">
        <v>0</v>
      </c>
      <c r="J2" s="7">
        <v>16548.78</v>
      </c>
      <c r="K2" t="s">
        <v>44</v>
      </c>
    </row>
    <row r="3" spans="1:11" x14ac:dyDescent="0.25">
      <c r="A3" t="s">
        <v>45</v>
      </c>
      <c r="B3" s="9">
        <v>45659</v>
      </c>
      <c r="C3" t="s">
        <v>42</v>
      </c>
      <c r="D3" t="s">
        <v>14</v>
      </c>
      <c r="E3" t="s">
        <v>46</v>
      </c>
      <c r="F3" t="s">
        <v>13</v>
      </c>
      <c r="G3">
        <v>7</v>
      </c>
      <c r="H3" s="7">
        <v>562.77</v>
      </c>
      <c r="I3" s="10">
        <v>0.15</v>
      </c>
      <c r="J3" s="7">
        <v>3348.48</v>
      </c>
      <c r="K3" t="s">
        <v>47</v>
      </c>
    </row>
    <row r="4" spans="1:11" x14ac:dyDescent="0.25">
      <c r="A4" t="s">
        <v>48</v>
      </c>
      <c r="B4" s="9">
        <v>45661</v>
      </c>
      <c r="C4" t="s">
        <v>49</v>
      </c>
      <c r="D4" t="s">
        <v>14</v>
      </c>
      <c r="E4" t="s">
        <v>46</v>
      </c>
      <c r="F4" t="s">
        <v>13</v>
      </c>
      <c r="G4">
        <v>7</v>
      </c>
      <c r="H4" s="7">
        <v>513.16</v>
      </c>
      <c r="I4" s="10">
        <v>0</v>
      </c>
      <c r="J4" s="7">
        <v>3592.12</v>
      </c>
      <c r="K4" t="s">
        <v>50</v>
      </c>
    </row>
    <row r="5" spans="1:11" x14ac:dyDescent="0.25">
      <c r="A5" t="s">
        <v>51</v>
      </c>
      <c r="B5" s="9">
        <v>45663</v>
      </c>
      <c r="C5" t="s">
        <v>42</v>
      </c>
      <c r="D5" t="s">
        <v>17</v>
      </c>
      <c r="E5" t="s">
        <v>52</v>
      </c>
      <c r="F5" t="s">
        <v>16</v>
      </c>
      <c r="G5">
        <v>8</v>
      </c>
      <c r="H5" s="7">
        <v>1938.58</v>
      </c>
      <c r="I5" s="10">
        <v>0.1</v>
      </c>
      <c r="J5" s="7">
        <v>13957.78</v>
      </c>
      <c r="K5" t="s">
        <v>50</v>
      </c>
    </row>
    <row r="6" spans="1:11" x14ac:dyDescent="0.25">
      <c r="A6" t="s">
        <v>53</v>
      </c>
      <c r="B6" s="9">
        <v>45665</v>
      </c>
      <c r="C6" t="s">
        <v>54</v>
      </c>
      <c r="D6" t="s">
        <v>23</v>
      </c>
      <c r="E6" t="s">
        <v>52</v>
      </c>
      <c r="F6" t="s">
        <v>16</v>
      </c>
      <c r="G6">
        <v>7</v>
      </c>
      <c r="H6" s="7">
        <v>1875.92</v>
      </c>
      <c r="I6" s="10">
        <v>0</v>
      </c>
      <c r="J6" s="7">
        <v>13131.44</v>
      </c>
      <c r="K6" t="s">
        <v>47</v>
      </c>
    </row>
    <row r="7" spans="1:11" x14ac:dyDescent="0.25">
      <c r="A7" t="s">
        <v>55</v>
      </c>
      <c r="B7" s="9">
        <v>45665</v>
      </c>
      <c r="C7" t="s">
        <v>56</v>
      </c>
      <c r="D7" t="s">
        <v>17</v>
      </c>
      <c r="E7" t="s">
        <v>57</v>
      </c>
      <c r="F7" t="s">
        <v>16</v>
      </c>
      <c r="G7">
        <v>2</v>
      </c>
      <c r="H7" s="7">
        <v>12520.23</v>
      </c>
      <c r="I7" s="10">
        <v>0.1</v>
      </c>
      <c r="J7" s="7">
        <v>22536.41</v>
      </c>
      <c r="K7" t="s">
        <v>50</v>
      </c>
    </row>
    <row r="8" spans="1:11" x14ac:dyDescent="0.25">
      <c r="A8" t="s">
        <v>58</v>
      </c>
      <c r="B8" s="9">
        <v>45668</v>
      </c>
      <c r="C8" t="s">
        <v>59</v>
      </c>
      <c r="D8" t="s">
        <v>23</v>
      </c>
      <c r="E8" t="s">
        <v>43</v>
      </c>
      <c r="F8" t="s">
        <v>19</v>
      </c>
      <c r="G8">
        <v>3</v>
      </c>
      <c r="H8" s="7">
        <v>8062.05</v>
      </c>
      <c r="I8" s="10">
        <v>0</v>
      </c>
      <c r="J8" s="7">
        <v>24186.15</v>
      </c>
      <c r="K8" t="s">
        <v>50</v>
      </c>
    </row>
    <row r="9" spans="1:11" x14ac:dyDescent="0.25">
      <c r="A9" t="s">
        <v>60</v>
      </c>
      <c r="B9" s="9">
        <v>45668</v>
      </c>
      <c r="C9" t="s">
        <v>42</v>
      </c>
      <c r="D9" t="s">
        <v>23</v>
      </c>
      <c r="E9" t="s">
        <v>43</v>
      </c>
      <c r="F9" t="s">
        <v>19</v>
      </c>
      <c r="G9">
        <v>6</v>
      </c>
      <c r="H9" s="7">
        <v>7634.15</v>
      </c>
      <c r="I9" s="10">
        <v>0.15</v>
      </c>
      <c r="J9" s="7">
        <v>38934.160000000003</v>
      </c>
      <c r="K9" t="s">
        <v>44</v>
      </c>
    </row>
    <row r="10" spans="1:11" x14ac:dyDescent="0.25">
      <c r="A10" t="s">
        <v>61</v>
      </c>
      <c r="B10" s="9">
        <v>45669</v>
      </c>
      <c r="C10" t="s">
        <v>49</v>
      </c>
      <c r="D10" t="s">
        <v>23</v>
      </c>
      <c r="E10" t="s">
        <v>62</v>
      </c>
      <c r="F10" t="s">
        <v>13</v>
      </c>
      <c r="G10">
        <v>2</v>
      </c>
      <c r="H10" s="7">
        <v>1137.19</v>
      </c>
      <c r="I10" s="10">
        <v>0</v>
      </c>
      <c r="J10" s="7">
        <v>2274.38</v>
      </c>
      <c r="K10" t="s">
        <v>47</v>
      </c>
    </row>
    <row r="11" spans="1:11" x14ac:dyDescent="0.25">
      <c r="A11" t="s">
        <v>63</v>
      </c>
      <c r="B11" s="9">
        <v>45670</v>
      </c>
      <c r="C11" t="s">
        <v>49</v>
      </c>
      <c r="D11" t="s">
        <v>23</v>
      </c>
      <c r="E11" t="s">
        <v>46</v>
      </c>
      <c r="F11" t="s">
        <v>13</v>
      </c>
      <c r="G11">
        <v>8</v>
      </c>
      <c r="H11" s="7">
        <v>557.11</v>
      </c>
      <c r="I11" s="10">
        <v>0.15</v>
      </c>
      <c r="J11" s="7">
        <v>3788.35</v>
      </c>
      <c r="K11" t="s">
        <v>50</v>
      </c>
    </row>
    <row r="12" spans="1:11" x14ac:dyDescent="0.25">
      <c r="A12" t="s">
        <v>64</v>
      </c>
      <c r="B12" s="9">
        <v>45671</v>
      </c>
      <c r="C12" t="s">
        <v>54</v>
      </c>
      <c r="D12" t="s">
        <v>20</v>
      </c>
      <c r="E12" t="s">
        <v>65</v>
      </c>
      <c r="F12" t="s">
        <v>19</v>
      </c>
      <c r="G12">
        <v>5</v>
      </c>
      <c r="H12" s="7">
        <v>9999.7900000000009</v>
      </c>
      <c r="I12" s="10">
        <v>0.15</v>
      </c>
      <c r="J12" s="7">
        <v>42499.11</v>
      </c>
      <c r="K12" t="s">
        <v>44</v>
      </c>
    </row>
    <row r="13" spans="1:11" x14ac:dyDescent="0.25">
      <c r="A13" t="s">
        <v>66</v>
      </c>
      <c r="B13" s="9">
        <v>45672</v>
      </c>
      <c r="C13" t="s">
        <v>49</v>
      </c>
      <c r="D13" t="s">
        <v>20</v>
      </c>
      <c r="E13" t="s">
        <v>62</v>
      </c>
      <c r="F13" t="s">
        <v>13</v>
      </c>
      <c r="G13">
        <v>8</v>
      </c>
      <c r="H13" s="7">
        <v>1215.75</v>
      </c>
      <c r="I13" s="10">
        <v>0.05</v>
      </c>
      <c r="J13" s="7">
        <v>9239.7000000000007</v>
      </c>
      <c r="K13" t="s">
        <v>44</v>
      </c>
    </row>
    <row r="14" spans="1:11" x14ac:dyDescent="0.25">
      <c r="A14" t="s">
        <v>67</v>
      </c>
      <c r="B14" s="9">
        <v>45674</v>
      </c>
      <c r="C14" t="s">
        <v>59</v>
      </c>
      <c r="D14" t="s">
        <v>17</v>
      </c>
      <c r="E14" t="s">
        <v>68</v>
      </c>
      <c r="F14" t="s">
        <v>13</v>
      </c>
      <c r="G14">
        <v>3</v>
      </c>
      <c r="H14" s="7">
        <v>614.78</v>
      </c>
      <c r="I14" s="10">
        <v>0</v>
      </c>
      <c r="J14" s="7">
        <v>1844.34</v>
      </c>
      <c r="K14" t="s">
        <v>50</v>
      </c>
    </row>
    <row r="15" spans="1:11" x14ac:dyDescent="0.25">
      <c r="A15" t="s">
        <v>69</v>
      </c>
      <c r="B15" s="9">
        <v>45674</v>
      </c>
      <c r="C15" t="s">
        <v>54</v>
      </c>
      <c r="D15" t="s">
        <v>17</v>
      </c>
      <c r="E15" t="s">
        <v>70</v>
      </c>
      <c r="F15" t="s">
        <v>16</v>
      </c>
      <c r="G15">
        <v>5</v>
      </c>
      <c r="H15" s="7">
        <v>55014.720000000001</v>
      </c>
      <c r="I15" s="10">
        <v>0.1</v>
      </c>
      <c r="J15" s="7">
        <v>247566.24</v>
      </c>
      <c r="K15" t="s">
        <v>47</v>
      </c>
    </row>
    <row r="16" spans="1:11" x14ac:dyDescent="0.25">
      <c r="A16" t="s">
        <v>71</v>
      </c>
      <c r="B16" s="9">
        <v>45677</v>
      </c>
      <c r="C16" t="s">
        <v>72</v>
      </c>
      <c r="D16" t="s">
        <v>14</v>
      </c>
      <c r="E16" t="s">
        <v>65</v>
      </c>
      <c r="F16" t="s">
        <v>19</v>
      </c>
      <c r="G16">
        <v>4</v>
      </c>
      <c r="H16" s="7">
        <v>9129.7199999999993</v>
      </c>
      <c r="I16" s="10">
        <v>0.05</v>
      </c>
      <c r="J16" s="7">
        <v>34692.94</v>
      </c>
      <c r="K16" t="s">
        <v>50</v>
      </c>
    </row>
    <row r="17" spans="1:11" x14ac:dyDescent="0.25">
      <c r="A17" t="s">
        <v>73</v>
      </c>
      <c r="B17" s="9">
        <v>45681</v>
      </c>
      <c r="C17" t="s">
        <v>54</v>
      </c>
      <c r="D17" t="s">
        <v>17</v>
      </c>
      <c r="E17" t="s">
        <v>57</v>
      </c>
      <c r="F17" t="s">
        <v>16</v>
      </c>
      <c r="G17">
        <v>8</v>
      </c>
      <c r="H17" s="7">
        <v>12797.48</v>
      </c>
      <c r="I17" s="10">
        <v>0.05</v>
      </c>
      <c r="J17" s="7">
        <v>97260.85</v>
      </c>
      <c r="K17" t="s">
        <v>44</v>
      </c>
    </row>
    <row r="18" spans="1:11" x14ac:dyDescent="0.25">
      <c r="A18" t="s">
        <v>74</v>
      </c>
      <c r="B18" s="9">
        <v>45684</v>
      </c>
      <c r="C18" t="s">
        <v>59</v>
      </c>
      <c r="D18" t="s">
        <v>14</v>
      </c>
      <c r="E18" t="s">
        <v>75</v>
      </c>
      <c r="F18" t="s">
        <v>22</v>
      </c>
      <c r="G18">
        <v>8</v>
      </c>
      <c r="H18" s="7">
        <v>153.83000000000001</v>
      </c>
      <c r="I18" s="10">
        <v>0.05</v>
      </c>
      <c r="J18" s="7">
        <v>1169.1099999999999</v>
      </c>
      <c r="K18" t="s">
        <v>47</v>
      </c>
    </row>
    <row r="19" spans="1:11" x14ac:dyDescent="0.25">
      <c r="A19" t="s">
        <v>76</v>
      </c>
      <c r="B19" s="9">
        <v>45688</v>
      </c>
      <c r="C19" t="s">
        <v>49</v>
      </c>
      <c r="D19" t="s">
        <v>23</v>
      </c>
      <c r="E19" t="s">
        <v>65</v>
      </c>
      <c r="F19" t="s">
        <v>19</v>
      </c>
      <c r="G19">
        <v>2</v>
      </c>
      <c r="H19" s="7">
        <v>9952.5499999999993</v>
      </c>
      <c r="I19" s="10">
        <v>0.1</v>
      </c>
      <c r="J19" s="7">
        <v>17914.59</v>
      </c>
      <c r="K19" t="s">
        <v>47</v>
      </c>
    </row>
    <row r="20" spans="1:11" x14ac:dyDescent="0.25">
      <c r="A20" t="s">
        <v>77</v>
      </c>
      <c r="B20" s="9">
        <v>45689</v>
      </c>
      <c r="C20" t="s">
        <v>54</v>
      </c>
      <c r="D20" t="s">
        <v>20</v>
      </c>
      <c r="E20" t="s">
        <v>65</v>
      </c>
      <c r="F20" t="s">
        <v>19</v>
      </c>
      <c r="G20">
        <v>5</v>
      </c>
      <c r="H20" s="7">
        <v>10251.68</v>
      </c>
      <c r="I20" s="10">
        <v>0</v>
      </c>
      <c r="J20" s="7">
        <v>51258.400000000001</v>
      </c>
      <c r="K20" t="s">
        <v>50</v>
      </c>
    </row>
    <row r="21" spans="1:11" x14ac:dyDescent="0.25">
      <c r="A21" t="s">
        <v>78</v>
      </c>
      <c r="B21" s="9">
        <v>45691</v>
      </c>
      <c r="C21" t="s">
        <v>49</v>
      </c>
      <c r="D21" t="s">
        <v>17</v>
      </c>
      <c r="E21" t="s">
        <v>68</v>
      </c>
      <c r="F21" t="s">
        <v>13</v>
      </c>
      <c r="G21">
        <v>4</v>
      </c>
      <c r="H21" s="7">
        <v>683.54</v>
      </c>
      <c r="I21" s="10">
        <v>0.15</v>
      </c>
      <c r="J21" s="7">
        <v>2324.04</v>
      </c>
      <c r="K21" t="s">
        <v>47</v>
      </c>
    </row>
    <row r="22" spans="1:11" x14ac:dyDescent="0.25">
      <c r="A22" t="s">
        <v>79</v>
      </c>
      <c r="B22" s="9">
        <v>45692</v>
      </c>
      <c r="C22" t="s">
        <v>72</v>
      </c>
      <c r="D22" t="s">
        <v>14</v>
      </c>
      <c r="E22" t="s">
        <v>57</v>
      </c>
      <c r="F22" t="s">
        <v>16</v>
      </c>
      <c r="G22">
        <v>8</v>
      </c>
      <c r="H22" s="7">
        <v>11853.69</v>
      </c>
      <c r="I22" s="10">
        <v>0</v>
      </c>
      <c r="J22" s="7">
        <v>94829.52</v>
      </c>
      <c r="K22" t="s">
        <v>50</v>
      </c>
    </row>
    <row r="23" spans="1:11" x14ac:dyDescent="0.25">
      <c r="A23" t="s">
        <v>80</v>
      </c>
      <c r="B23" s="9">
        <v>45693</v>
      </c>
      <c r="C23" t="s">
        <v>81</v>
      </c>
      <c r="D23" t="s">
        <v>14</v>
      </c>
      <c r="E23" t="s">
        <v>43</v>
      </c>
      <c r="F23" t="s">
        <v>19</v>
      </c>
      <c r="G23">
        <v>3</v>
      </c>
      <c r="H23" s="7">
        <v>8061.71</v>
      </c>
      <c r="I23" s="10">
        <v>0</v>
      </c>
      <c r="J23" s="7">
        <v>24185.13</v>
      </c>
      <c r="K23" t="s">
        <v>50</v>
      </c>
    </row>
    <row r="24" spans="1:11" x14ac:dyDescent="0.25">
      <c r="A24" t="s">
        <v>82</v>
      </c>
      <c r="B24" s="9">
        <v>45694</v>
      </c>
      <c r="C24" t="s">
        <v>49</v>
      </c>
      <c r="D24" t="s">
        <v>17</v>
      </c>
      <c r="E24" t="s">
        <v>70</v>
      </c>
      <c r="F24" t="s">
        <v>16</v>
      </c>
      <c r="G24">
        <v>4</v>
      </c>
      <c r="H24" s="7">
        <v>52503.98</v>
      </c>
      <c r="I24" s="10">
        <v>0.1</v>
      </c>
      <c r="J24" s="7">
        <v>189014.33</v>
      </c>
      <c r="K24" t="s">
        <v>50</v>
      </c>
    </row>
    <row r="25" spans="1:11" x14ac:dyDescent="0.25">
      <c r="A25" t="s">
        <v>83</v>
      </c>
      <c r="B25" s="9">
        <v>45695</v>
      </c>
      <c r="C25" t="s">
        <v>84</v>
      </c>
      <c r="D25" t="s">
        <v>17</v>
      </c>
      <c r="E25" t="s">
        <v>46</v>
      </c>
      <c r="F25" t="s">
        <v>13</v>
      </c>
      <c r="G25">
        <v>7</v>
      </c>
      <c r="H25" s="7">
        <v>536.54</v>
      </c>
      <c r="I25" s="10">
        <v>0</v>
      </c>
      <c r="J25" s="7">
        <v>3755.78</v>
      </c>
      <c r="K25" t="s">
        <v>47</v>
      </c>
    </row>
    <row r="26" spans="1:11" x14ac:dyDescent="0.25">
      <c r="A26" t="s">
        <v>85</v>
      </c>
      <c r="B26" s="9">
        <v>45695</v>
      </c>
      <c r="C26" t="s">
        <v>56</v>
      </c>
      <c r="D26" t="s">
        <v>14</v>
      </c>
      <c r="E26" t="s">
        <v>70</v>
      </c>
      <c r="F26" t="s">
        <v>16</v>
      </c>
      <c r="G26">
        <v>2</v>
      </c>
      <c r="H26" s="7">
        <v>52284.06</v>
      </c>
      <c r="I26" s="10">
        <v>0</v>
      </c>
      <c r="J26" s="7">
        <v>104568.12</v>
      </c>
      <c r="K26" t="s">
        <v>50</v>
      </c>
    </row>
    <row r="27" spans="1:11" x14ac:dyDescent="0.25">
      <c r="A27" t="s">
        <v>86</v>
      </c>
      <c r="B27" s="9">
        <v>45698</v>
      </c>
      <c r="C27" t="s">
        <v>84</v>
      </c>
      <c r="D27" t="s">
        <v>20</v>
      </c>
      <c r="E27" t="s">
        <v>57</v>
      </c>
      <c r="F27" t="s">
        <v>16</v>
      </c>
      <c r="G27">
        <v>4</v>
      </c>
      <c r="H27" s="7">
        <v>13368.18</v>
      </c>
      <c r="I27" s="10">
        <v>0.15</v>
      </c>
      <c r="J27" s="7">
        <v>45451.81</v>
      </c>
      <c r="K27" t="s">
        <v>44</v>
      </c>
    </row>
    <row r="28" spans="1:11" x14ac:dyDescent="0.25">
      <c r="A28" t="s">
        <v>87</v>
      </c>
      <c r="B28" s="9">
        <v>45699</v>
      </c>
      <c r="C28" t="s">
        <v>49</v>
      </c>
      <c r="D28" t="s">
        <v>23</v>
      </c>
      <c r="E28" t="s">
        <v>57</v>
      </c>
      <c r="F28" t="s">
        <v>16</v>
      </c>
      <c r="G28">
        <v>2</v>
      </c>
      <c r="H28" s="7">
        <v>11583.89</v>
      </c>
      <c r="I28" s="10">
        <v>0</v>
      </c>
      <c r="J28" s="7">
        <v>23167.78</v>
      </c>
      <c r="K28" t="s">
        <v>47</v>
      </c>
    </row>
    <row r="29" spans="1:11" x14ac:dyDescent="0.25">
      <c r="A29" t="s">
        <v>88</v>
      </c>
      <c r="B29" s="9">
        <v>45699</v>
      </c>
      <c r="C29" t="s">
        <v>42</v>
      </c>
      <c r="D29" t="s">
        <v>14</v>
      </c>
      <c r="E29" t="s">
        <v>43</v>
      </c>
      <c r="F29" t="s">
        <v>19</v>
      </c>
      <c r="G29">
        <v>8</v>
      </c>
      <c r="H29" s="7">
        <v>7778.3</v>
      </c>
      <c r="I29" s="10">
        <v>0.15</v>
      </c>
      <c r="J29" s="7">
        <v>52892.44</v>
      </c>
      <c r="K29" t="s">
        <v>47</v>
      </c>
    </row>
    <row r="30" spans="1:11" x14ac:dyDescent="0.25">
      <c r="A30" t="s">
        <v>89</v>
      </c>
      <c r="B30" s="9">
        <v>45702</v>
      </c>
      <c r="C30" t="s">
        <v>49</v>
      </c>
      <c r="D30" t="s">
        <v>14</v>
      </c>
      <c r="E30" t="s">
        <v>75</v>
      </c>
      <c r="F30" t="s">
        <v>22</v>
      </c>
      <c r="G30">
        <v>3</v>
      </c>
      <c r="H30" s="7">
        <v>144.87</v>
      </c>
      <c r="I30" s="10">
        <v>0.1</v>
      </c>
      <c r="J30" s="7">
        <v>391.15</v>
      </c>
      <c r="K30" t="s">
        <v>44</v>
      </c>
    </row>
    <row r="31" spans="1:11" x14ac:dyDescent="0.25">
      <c r="A31" t="s">
        <v>90</v>
      </c>
      <c r="B31" s="9">
        <v>45702</v>
      </c>
      <c r="C31" t="s">
        <v>59</v>
      </c>
      <c r="D31" t="s">
        <v>23</v>
      </c>
      <c r="E31" t="s">
        <v>62</v>
      </c>
      <c r="F31" t="s">
        <v>13</v>
      </c>
      <c r="G31">
        <v>3</v>
      </c>
      <c r="H31" s="7">
        <v>1212.27</v>
      </c>
      <c r="I31" s="10">
        <v>0</v>
      </c>
      <c r="J31" s="7">
        <v>3636.81</v>
      </c>
      <c r="K31" t="s">
        <v>44</v>
      </c>
    </row>
    <row r="32" spans="1:11" x14ac:dyDescent="0.25">
      <c r="A32" t="s">
        <v>91</v>
      </c>
      <c r="B32" s="9">
        <v>45703</v>
      </c>
      <c r="C32" t="s">
        <v>49</v>
      </c>
      <c r="D32" t="s">
        <v>23</v>
      </c>
      <c r="E32" t="s">
        <v>92</v>
      </c>
      <c r="F32" t="s">
        <v>22</v>
      </c>
      <c r="G32">
        <v>6</v>
      </c>
      <c r="H32" s="7">
        <v>91.11</v>
      </c>
      <c r="I32" s="10">
        <v>0</v>
      </c>
      <c r="J32" s="7">
        <v>546.66</v>
      </c>
      <c r="K32" t="s">
        <v>50</v>
      </c>
    </row>
    <row r="33" spans="1:11" x14ac:dyDescent="0.25">
      <c r="A33" t="s">
        <v>93</v>
      </c>
      <c r="B33" s="9">
        <v>45703</v>
      </c>
      <c r="C33" t="s">
        <v>42</v>
      </c>
      <c r="D33" t="s">
        <v>14</v>
      </c>
      <c r="E33" t="s">
        <v>75</v>
      </c>
      <c r="F33" t="s">
        <v>22</v>
      </c>
      <c r="G33">
        <v>2</v>
      </c>
      <c r="H33" s="7">
        <v>154.01</v>
      </c>
      <c r="I33" s="10">
        <v>0.1</v>
      </c>
      <c r="J33" s="7">
        <v>277.22000000000003</v>
      </c>
      <c r="K33" t="s">
        <v>47</v>
      </c>
    </row>
    <row r="34" spans="1:11" x14ac:dyDescent="0.25">
      <c r="A34" t="s">
        <v>94</v>
      </c>
      <c r="B34" s="9">
        <v>45706</v>
      </c>
      <c r="C34" t="s">
        <v>84</v>
      </c>
      <c r="D34" t="s">
        <v>14</v>
      </c>
      <c r="E34" t="s">
        <v>57</v>
      </c>
      <c r="F34" t="s">
        <v>16</v>
      </c>
      <c r="G34">
        <v>8</v>
      </c>
      <c r="H34" s="7">
        <v>12326.32</v>
      </c>
      <c r="I34" s="10">
        <v>0</v>
      </c>
      <c r="J34" s="7">
        <v>98610.559999999998</v>
      </c>
      <c r="K34" t="s">
        <v>50</v>
      </c>
    </row>
    <row r="35" spans="1:11" x14ac:dyDescent="0.25">
      <c r="A35" t="s">
        <v>95</v>
      </c>
      <c r="B35" s="9">
        <v>45706</v>
      </c>
      <c r="C35" t="s">
        <v>72</v>
      </c>
      <c r="D35" t="s">
        <v>17</v>
      </c>
      <c r="E35" t="s">
        <v>46</v>
      </c>
      <c r="F35" t="s">
        <v>13</v>
      </c>
      <c r="G35">
        <v>4</v>
      </c>
      <c r="H35" s="7">
        <v>527.91999999999996</v>
      </c>
      <c r="I35" s="10">
        <v>0.1</v>
      </c>
      <c r="J35" s="7">
        <v>1900.51</v>
      </c>
      <c r="K35" t="s">
        <v>47</v>
      </c>
    </row>
    <row r="36" spans="1:11" x14ac:dyDescent="0.25">
      <c r="A36" t="s">
        <v>96</v>
      </c>
      <c r="B36" s="9">
        <v>45706</v>
      </c>
      <c r="C36" t="s">
        <v>49</v>
      </c>
      <c r="D36" t="s">
        <v>17</v>
      </c>
      <c r="E36" t="s">
        <v>46</v>
      </c>
      <c r="F36" t="s">
        <v>13</v>
      </c>
      <c r="G36">
        <v>8</v>
      </c>
      <c r="H36" s="7">
        <v>590.69000000000005</v>
      </c>
      <c r="I36" s="10">
        <v>0.1</v>
      </c>
      <c r="J36" s="7">
        <v>4252.97</v>
      </c>
      <c r="K36" t="s">
        <v>47</v>
      </c>
    </row>
    <row r="37" spans="1:11" x14ac:dyDescent="0.25">
      <c r="A37" t="s">
        <v>97</v>
      </c>
      <c r="B37" s="9">
        <v>45708</v>
      </c>
      <c r="C37" t="s">
        <v>81</v>
      </c>
      <c r="D37" t="s">
        <v>20</v>
      </c>
      <c r="E37" t="s">
        <v>46</v>
      </c>
      <c r="F37" t="s">
        <v>13</v>
      </c>
      <c r="G37">
        <v>7</v>
      </c>
      <c r="H37" s="7">
        <v>572.5</v>
      </c>
      <c r="I37" s="10">
        <v>0.1</v>
      </c>
      <c r="J37" s="7">
        <v>3606.75</v>
      </c>
      <c r="K37" t="s">
        <v>47</v>
      </c>
    </row>
    <row r="38" spans="1:11" x14ac:dyDescent="0.25">
      <c r="A38" t="s">
        <v>98</v>
      </c>
      <c r="B38" s="9">
        <v>45710</v>
      </c>
      <c r="C38" t="s">
        <v>56</v>
      </c>
      <c r="D38" t="s">
        <v>17</v>
      </c>
      <c r="E38" t="s">
        <v>68</v>
      </c>
      <c r="F38" t="s">
        <v>13</v>
      </c>
      <c r="G38">
        <v>6</v>
      </c>
      <c r="H38" s="7">
        <v>667.84</v>
      </c>
      <c r="I38" s="10">
        <v>0</v>
      </c>
      <c r="J38" s="7">
        <v>4007.04</v>
      </c>
      <c r="K38" t="s">
        <v>47</v>
      </c>
    </row>
    <row r="39" spans="1:11" x14ac:dyDescent="0.25">
      <c r="A39" t="s">
        <v>99</v>
      </c>
      <c r="B39" s="9">
        <v>45711</v>
      </c>
      <c r="C39" t="s">
        <v>59</v>
      </c>
      <c r="D39" t="s">
        <v>20</v>
      </c>
      <c r="E39" t="s">
        <v>65</v>
      </c>
      <c r="F39" t="s">
        <v>19</v>
      </c>
      <c r="G39">
        <v>5</v>
      </c>
      <c r="H39" s="7">
        <v>8953.64</v>
      </c>
      <c r="I39" s="10">
        <v>0.05</v>
      </c>
      <c r="J39" s="7">
        <v>42529.79</v>
      </c>
      <c r="K39" t="s">
        <v>47</v>
      </c>
    </row>
    <row r="40" spans="1:11" x14ac:dyDescent="0.25">
      <c r="A40" t="s">
        <v>100</v>
      </c>
      <c r="B40" s="9">
        <v>45713</v>
      </c>
      <c r="C40" t="s">
        <v>81</v>
      </c>
      <c r="D40" t="s">
        <v>23</v>
      </c>
      <c r="E40" t="s">
        <v>70</v>
      </c>
      <c r="F40" t="s">
        <v>16</v>
      </c>
      <c r="G40">
        <v>8</v>
      </c>
      <c r="H40" s="7">
        <v>55035.24</v>
      </c>
      <c r="I40" s="10">
        <v>0.1</v>
      </c>
      <c r="J40" s="7">
        <v>396253.73</v>
      </c>
      <c r="K40" t="s">
        <v>44</v>
      </c>
    </row>
    <row r="41" spans="1:11" x14ac:dyDescent="0.25">
      <c r="A41" t="s">
        <v>101</v>
      </c>
      <c r="B41" s="9">
        <v>45713</v>
      </c>
      <c r="C41" t="s">
        <v>84</v>
      </c>
      <c r="D41" t="s">
        <v>17</v>
      </c>
      <c r="E41" t="s">
        <v>43</v>
      </c>
      <c r="F41" t="s">
        <v>19</v>
      </c>
      <c r="G41">
        <v>3</v>
      </c>
      <c r="H41" s="7">
        <v>7546.86</v>
      </c>
      <c r="I41" s="10">
        <v>0.05</v>
      </c>
      <c r="J41" s="7">
        <v>21508.55</v>
      </c>
      <c r="K41" t="s">
        <v>44</v>
      </c>
    </row>
    <row r="42" spans="1:11" x14ac:dyDescent="0.25">
      <c r="A42" t="s">
        <v>102</v>
      </c>
      <c r="B42" s="9">
        <v>45714</v>
      </c>
      <c r="C42" t="s">
        <v>42</v>
      </c>
      <c r="D42" t="s">
        <v>23</v>
      </c>
      <c r="E42" t="s">
        <v>68</v>
      </c>
      <c r="F42" t="s">
        <v>13</v>
      </c>
      <c r="G42">
        <v>5</v>
      </c>
      <c r="H42" s="7">
        <v>686.57</v>
      </c>
      <c r="I42" s="10">
        <v>0</v>
      </c>
      <c r="J42" s="7">
        <v>3432.85</v>
      </c>
      <c r="K42" t="s">
        <v>47</v>
      </c>
    </row>
    <row r="43" spans="1:11" x14ac:dyDescent="0.25">
      <c r="A43" t="s">
        <v>103</v>
      </c>
      <c r="B43" s="9">
        <v>45715</v>
      </c>
      <c r="C43" t="s">
        <v>72</v>
      </c>
      <c r="D43" t="s">
        <v>17</v>
      </c>
      <c r="E43" t="s">
        <v>68</v>
      </c>
      <c r="F43" t="s">
        <v>13</v>
      </c>
      <c r="G43">
        <v>8</v>
      </c>
      <c r="H43" s="7">
        <v>689.39</v>
      </c>
      <c r="I43" s="10">
        <v>0</v>
      </c>
      <c r="J43" s="7">
        <v>5515.12</v>
      </c>
      <c r="K43" t="s">
        <v>44</v>
      </c>
    </row>
    <row r="44" spans="1:11" x14ac:dyDescent="0.25">
      <c r="A44" t="s">
        <v>104</v>
      </c>
      <c r="B44" s="9">
        <v>45715</v>
      </c>
      <c r="C44" t="s">
        <v>42</v>
      </c>
      <c r="D44" t="s">
        <v>23</v>
      </c>
      <c r="E44" t="s">
        <v>57</v>
      </c>
      <c r="F44" t="s">
        <v>16</v>
      </c>
      <c r="G44">
        <v>2</v>
      </c>
      <c r="H44" s="7">
        <v>12602.36</v>
      </c>
      <c r="I44" s="10">
        <v>0.05</v>
      </c>
      <c r="J44" s="7">
        <v>23944.48</v>
      </c>
      <c r="K44" t="s">
        <v>44</v>
      </c>
    </row>
    <row r="45" spans="1:11" x14ac:dyDescent="0.25">
      <c r="A45" t="s">
        <v>105</v>
      </c>
      <c r="B45" s="9">
        <v>45716</v>
      </c>
      <c r="C45" t="s">
        <v>49</v>
      </c>
      <c r="D45" t="s">
        <v>20</v>
      </c>
      <c r="E45" t="s">
        <v>75</v>
      </c>
      <c r="F45" t="s">
        <v>22</v>
      </c>
      <c r="G45">
        <v>1</v>
      </c>
      <c r="H45" s="7">
        <v>144.61000000000001</v>
      </c>
      <c r="I45" s="10">
        <v>0.05</v>
      </c>
      <c r="J45" s="7">
        <v>137.38</v>
      </c>
      <c r="K45" t="s">
        <v>50</v>
      </c>
    </row>
    <row r="46" spans="1:11" x14ac:dyDescent="0.25">
      <c r="A46" t="s">
        <v>106</v>
      </c>
      <c r="B46" s="9">
        <v>45716</v>
      </c>
      <c r="C46" t="s">
        <v>42</v>
      </c>
      <c r="D46" t="s">
        <v>20</v>
      </c>
      <c r="E46" t="s">
        <v>46</v>
      </c>
      <c r="F46" t="s">
        <v>13</v>
      </c>
      <c r="G46">
        <v>5</v>
      </c>
      <c r="H46" s="7">
        <v>536.94000000000005</v>
      </c>
      <c r="I46" s="10">
        <v>0</v>
      </c>
      <c r="J46" s="7">
        <v>2684.7</v>
      </c>
      <c r="K46" t="s">
        <v>44</v>
      </c>
    </row>
    <row r="47" spans="1:11" x14ac:dyDescent="0.25">
      <c r="A47" t="s">
        <v>107</v>
      </c>
      <c r="B47" s="9">
        <v>45716</v>
      </c>
      <c r="C47" t="s">
        <v>72</v>
      </c>
      <c r="D47" t="s">
        <v>20</v>
      </c>
      <c r="E47" t="s">
        <v>43</v>
      </c>
      <c r="F47" t="s">
        <v>19</v>
      </c>
      <c r="G47">
        <v>3</v>
      </c>
      <c r="H47" s="7">
        <v>7769.58</v>
      </c>
      <c r="I47" s="10">
        <v>0.1</v>
      </c>
      <c r="J47" s="7">
        <v>20977.87</v>
      </c>
      <c r="K47" t="s">
        <v>47</v>
      </c>
    </row>
    <row r="48" spans="1:11" x14ac:dyDescent="0.25">
      <c r="A48" t="s">
        <v>108</v>
      </c>
      <c r="B48" s="9">
        <v>45721</v>
      </c>
      <c r="C48" t="s">
        <v>49</v>
      </c>
      <c r="D48" t="s">
        <v>20</v>
      </c>
      <c r="E48" t="s">
        <v>68</v>
      </c>
      <c r="F48" t="s">
        <v>13</v>
      </c>
      <c r="G48">
        <v>5</v>
      </c>
      <c r="H48" s="7">
        <v>663.15</v>
      </c>
      <c r="I48" s="10">
        <v>0</v>
      </c>
      <c r="J48" s="7">
        <v>3315.75</v>
      </c>
      <c r="K48" t="s">
        <v>50</v>
      </c>
    </row>
    <row r="49" spans="1:11" x14ac:dyDescent="0.25">
      <c r="A49" t="s">
        <v>109</v>
      </c>
      <c r="B49" s="9">
        <v>45721</v>
      </c>
      <c r="C49" t="s">
        <v>49</v>
      </c>
      <c r="D49" t="s">
        <v>20</v>
      </c>
      <c r="E49" t="s">
        <v>52</v>
      </c>
      <c r="F49" t="s">
        <v>16</v>
      </c>
      <c r="G49">
        <v>2</v>
      </c>
      <c r="H49" s="7">
        <v>1927.57</v>
      </c>
      <c r="I49" s="10">
        <v>0.1</v>
      </c>
      <c r="J49" s="7">
        <v>3469.63</v>
      </c>
      <c r="K49" t="s">
        <v>44</v>
      </c>
    </row>
    <row r="50" spans="1:11" x14ac:dyDescent="0.25">
      <c r="A50" t="s">
        <v>110</v>
      </c>
      <c r="B50" s="9">
        <v>45723</v>
      </c>
      <c r="C50" t="s">
        <v>72</v>
      </c>
      <c r="D50" t="s">
        <v>20</v>
      </c>
      <c r="E50" t="s">
        <v>43</v>
      </c>
      <c r="F50" t="s">
        <v>19</v>
      </c>
      <c r="G50">
        <v>6</v>
      </c>
      <c r="H50" s="7">
        <v>7557.66</v>
      </c>
      <c r="I50" s="10">
        <v>0.1</v>
      </c>
      <c r="J50" s="7">
        <v>40811.360000000001</v>
      </c>
      <c r="K50" t="s">
        <v>47</v>
      </c>
    </row>
    <row r="51" spans="1:11" x14ac:dyDescent="0.25">
      <c r="A51" t="s">
        <v>111</v>
      </c>
      <c r="B51" s="9">
        <v>45723</v>
      </c>
      <c r="C51" t="s">
        <v>59</v>
      </c>
      <c r="D51" t="s">
        <v>20</v>
      </c>
      <c r="E51" t="s">
        <v>68</v>
      </c>
      <c r="F51" t="s">
        <v>13</v>
      </c>
      <c r="G51">
        <v>2</v>
      </c>
      <c r="H51" s="7">
        <v>638.67999999999995</v>
      </c>
      <c r="I51" s="10">
        <v>0</v>
      </c>
      <c r="J51" s="7">
        <v>1277.3599999999999</v>
      </c>
      <c r="K51" t="s">
        <v>44</v>
      </c>
    </row>
    <row r="52" spans="1:11" x14ac:dyDescent="0.25">
      <c r="A52" t="s">
        <v>112</v>
      </c>
      <c r="B52" s="9">
        <v>45726</v>
      </c>
      <c r="C52" t="s">
        <v>59</v>
      </c>
      <c r="D52" t="s">
        <v>17</v>
      </c>
      <c r="E52" t="s">
        <v>65</v>
      </c>
      <c r="F52" t="s">
        <v>19</v>
      </c>
      <c r="G52">
        <v>2</v>
      </c>
      <c r="H52" s="7">
        <v>9415.7000000000007</v>
      </c>
      <c r="I52" s="10">
        <v>0.1</v>
      </c>
      <c r="J52" s="7">
        <v>16948.259999999998</v>
      </c>
      <c r="K52" t="s">
        <v>47</v>
      </c>
    </row>
    <row r="53" spans="1:11" x14ac:dyDescent="0.25">
      <c r="A53" t="s">
        <v>113</v>
      </c>
      <c r="B53" s="9">
        <v>45727</v>
      </c>
      <c r="C53" t="s">
        <v>81</v>
      </c>
      <c r="D53" t="s">
        <v>14</v>
      </c>
      <c r="E53" t="s">
        <v>57</v>
      </c>
      <c r="F53" t="s">
        <v>16</v>
      </c>
      <c r="G53">
        <v>4</v>
      </c>
      <c r="H53" s="7">
        <v>11812.34</v>
      </c>
      <c r="I53" s="10">
        <v>0</v>
      </c>
      <c r="J53" s="7">
        <v>47249.36</v>
      </c>
      <c r="K53" t="s">
        <v>50</v>
      </c>
    </row>
    <row r="54" spans="1:11" x14ac:dyDescent="0.25">
      <c r="A54" t="s">
        <v>114</v>
      </c>
      <c r="B54" s="9">
        <v>45728</v>
      </c>
      <c r="C54" t="s">
        <v>81</v>
      </c>
      <c r="D54" t="s">
        <v>20</v>
      </c>
      <c r="E54" t="s">
        <v>65</v>
      </c>
      <c r="F54" t="s">
        <v>19</v>
      </c>
      <c r="G54">
        <v>8</v>
      </c>
      <c r="H54" s="7">
        <v>10146.49</v>
      </c>
      <c r="I54" s="10">
        <v>0</v>
      </c>
      <c r="J54" s="7">
        <v>81171.92</v>
      </c>
      <c r="K54" t="s">
        <v>44</v>
      </c>
    </row>
    <row r="55" spans="1:11" x14ac:dyDescent="0.25">
      <c r="A55" t="s">
        <v>115</v>
      </c>
      <c r="B55" s="9">
        <v>45730</v>
      </c>
      <c r="C55" t="s">
        <v>54</v>
      </c>
      <c r="D55" t="s">
        <v>23</v>
      </c>
      <c r="E55" t="s">
        <v>62</v>
      </c>
      <c r="F55" t="s">
        <v>13</v>
      </c>
      <c r="G55">
        <v>7</v>
      </c>
      <c r="H55" s="7">
        <v>1291.67</v>
      </c>
      <c r="I55" s="10">
        <v>0.15</v>
      </c>
      <c r="J55" s="7">
        <v>7685.44</v>
      </c>
      <c r="K55" t="s">
        <v>50</v>
      </c>
    </row>
    <row r="56" spans="1:11" x14ac:dyDescent="0.25">
      <c r="A56" t="s">
        <v>116</v>
      </c>
      <c r="B56" s="9">
        <v>45731</v>
      </c>
      <c r="C56" t="s">
        <v>42</v>
      </c>
      <c r="D56" t="s">
        <v>17</v>
      </c>
      <c r="E56" t="s">
        <v>52</v>
      </c>
      <c r="F56" t="s">
        <v>16</v>
      </c>
      <c r="G56">
        <v>5</v>
      </c>
      <c r="H56" s="7">
        <v>1771.69</v>
      </c>
      <c r="I56" s="10">
        <v>0.1</v>
      </c>
      <c r="J56" s="7">
        <v>7972.61</v>
      </c>
      <c r="K56" t="s">
        <v>44</v>
      </c>
    </row>
    <row r="57" spans="1:11" x14ac:dyDescent="0.25">
      <c r="A57" t="s">
        <v>117</v>
      </c>
      <c r="B57" s="9">
        <v>45732</v>
      </c>
      <c r="C57" t="s">
        <v>56</v>
      </c>
      <c r="D57" t="s">
        <v>17</v>
      </c>
      <c r="E57" t="s">
        <v>68</v>
      </c>
      <c r="F57" t="s">
        <v>13</v>
      </c>
      <c r="G57">
        <v>5</v>
      </c>
      <c r="H57" s="7">
        <v>689.22</v>
      </c>
      <c r="I57" s="10">
        <v>0.05</v>
      </c>
      <c r="J57" s="7">
        <v>3273.8</v>
      </c>
      <c r="K57" t="s">
        <v>44</v>
      </c>
    </row>
    <row r="58" spans="1:11" x14ac:dyDescent="0.25">
      <c r="A58" t="s">
        <v>118</v>
      </c>
      <c r="B58" s="9">
        <v>45732</v>
      </c>
      <c r="C58" t="s">
        <v>42</v>
      </c>
      <c r="D58" t="s">
        <v>23</v>
      </c>
      <c r="E58" t="s">
        <v>92</v>
      </c>
      <c r="F58" t="s">
        <v>22</v>
      </c>
      <c r="G58">
        <v>3</v>
      </c>
      <c r="H58" s="7">
        <v>84.8</v>
      </c>
      <c r="I58" s="10">
        <v>0.15</v>
      </c>
      <c r="J58" s="7">
        <v>216.24</v>
      </c>
      <c r="K58" t="s">
        <v>50</v>
      </c>
    </row>
    <row r="59" spans="1:11" x14ac:dyDescent="0.25">
      <c r="A59" t="s">
        <v>119</v>
      </c>
      <c r="B59" s="9">
        <v>45732</v>
      </c>
      <c r="C59" t="s">
        <v>81</v>
      </c>
      <c r="D59" t="s">
        <v>14</v>
      </c>
      <c r="E59" t="s">
        <v>75</v>
      </c>
      <c r="F59" t="s">
        <v>22</v>
      </c>
      <c r="G59">
        <v>7</v>
      </c>
      <c r="H59" s="7">
        <v>146.86000000000001</v>
      </c>
      <c r="I59" s="10">
        <v>0</v>
      </c>
      <c r="J59" s="7">
        <v>1028.02</v>
      </c>
      <c r="K59" t="s">
        <v>44</v>
      </c>
    </row>
    <row r="60" spans="1:11" x14ac:dyDescent="0.25">
      <c r="A60" t="s">
        <v>120</v>
      </c>
      <c r="B60" s="9">
        <v>45732</v>
      </c>
      <c r="C60" t="s">
        <v>72</v>
      </c>
      <c r="D60" t="s">
        <v>20</v>
      </c>
      <c r="E60" t="s">
        <v>70</v>
      </c>
      <c r="F60" t="s">
        <v>16</v>
      </c>
      <c r="G60">
        <v>2</v>
      </c>
      <c r="H60" s="7">
        <v>51356.04</v>
      </c>
      <c r="I60" s="10">
        <v>0</v>
      </c>
      <c r="J60" s="7">
        <v>102712.08</v>
      </c>
      <c r="K60" t="s">
        <v>50</v>
      </c>
    </row>
    <row r="61" spans="1:11" x14ac:dyDescent="0.25">
      <c r="A61" t="s">
        <v>121</v>
      </c>
      <c r="B61" s="9">
        <v>45733</v>
      </c>
      <c r="C61" t="s">
        <v>54</v>
      </c>
      <c r="D61" t="s">
        <v>14</v>
      </c>
      <c r="E61" t="s">
        <v>68</v>
      </c>
      <c r="F61" t="s">
        <v>13</v>
      </c>
      <c r="G61">
        <v>5</v>
      </c>
      <c r="H61" s="7">
        <v>610.64</v>
      </c>
      <c r="I61" s="10">
        <v>0.1</v>
      </c>
      <c r="J61" s="7">
        <v>2747.88</v>
      </c>
      <c r="K61" t="s">
        <v>47</v>
      </c>
    </row>
    <row r="62" spans="1:11" x14ac:dyDescent="0.25">
      <c r="A62" t="s">
        <v>122</v>
      </c>
      <c r="B62" s="9">
        <v>45733</v>
      </c>
      <c r="C62" t="s">
        <v>59</v>
      </c>
      <c r="D62" t="s">
        <v>20</v>
      </c>
      <c r="E62" t="s">
        <v>65</v>
      </c>
      <c r="F62" t="s">
        <v>19</v>
      </c>
      <c r="G62">
        <v>7</v>
      </c>
      <c r="H62" s="7">
        <v>8752.68</v>
      </c>
      <c r="I62" s="10">
        <v>0</v>
      </c>
      <c r="J62" s="7">
        <v>61268.76</v>
      </c>
      <c r="K62" t="s">
        <v>47</v>
      </c>
    </row>
    <row r="63" spans="1:11" x14ac:dyDescent="0.25">
      <c r="A63" t="s">
        <v>123</v>
      </c>
      <c r="B63" s="9">
        <v>45733</v>
      </c>
      <c r="C63" t="s">
        <v>56</v>
      </c>
      <c r="D63" t="s">
        <v>14</v>
      </c>
      <c r="E63" t="s">
        <v>57</v>
      </c>
      <c r="F63" t="s">
        <v>16</v>
      </c>
      <c r="G63">
        <v>7</v>
      </c>
      <c r="H63" s="7">
        <v>13045.88</v>
      </c>
      <c r="I63" s="10">
        <v>0</v>
      </c>
      <c r="J63" s="7">
        <v>91321.16</v>
      </c>
      <c r="K63" t="s">
        <v>44</v>
      </c>
    </row>
    <row r="64" spans="1:11" x14ac:dyDescent="0.25">
      <c r="A64" t="s">
        <v>124</v>
      </c>
      <c r="B64" s="9">
        <v>45733</v>
      </c>
      <c r="C64" t="s">
        <v>84</v>
      </c>
      <c r="D64" t="s">
        <v>20</v>
      </c>
      <c r="E64" t="s">
        <v>46</v>
      </c>
      <c r="F64" t="s">
        <v>13</v>
      </c>
      <c r="G64">
        <v>5</v>
      </c>
      <c r="H64" s="7">
        <v>515.47</v>
      </c>
      <c r="I64" s="10">
        <v>0.1</v>
      </c>
      <c r="J64" s="7">
        <v>2319.62</v>
      </c>
      <c r="K64" t="s">
        <v>44</v>
      </c>
    </row>
    <row r="65" spans="1:11" x14ac:dyDescent="0.25">
      <c r="A65" t="s">
        <v>125</v>
      </c>
      <c r="B65" s="9">
        <v>45736</v>
      </c>
      <c r="C65" t="s">
        <v>72</v>
      </c>
      <c r="D65" t="s">
        <v>23</v>
      </c>
      <c r="E65" t="s">
        <v>46</v>
      </c>
      <c r="F65" t="s">
        <v>13</v>
      </c>
      <c r="G65">
        <v>7</v>
      </c>
      <c r="H65" s="7">
        <v>558.29999999999995</v>
      </c>
      <c r="I65" s="10">
        <v>0.05</v>
      </c>
      <c r="J65" s="7">
        <v>3712.69</v>
      </c>
      <c r="K65" t="s">
        <v>50</v>
      </c>
    </row>
    <row r="66" spans="1:11" x14ac:dyDescent="0.25">
      <c r="A66" t="s">
        <v>126</v>
      </c>
      <c r="B66" s="9">
        <v>45736</v>
      </c>
      <c r="C66" t="s">
        <v>42</v>
      </c>
      <c r="D66" t="s">
        <v>17</v>
      </c>
      <c r="E66" t="s">
        <v>75</v>
      </c>
      <c r="F66" t="s">
        <v>22</v>
      </c>
      <c r="G66">
        <v>7</v>
      </c>
      <c r="H66" s="7">
        <v>154.33000000000001</v>
      </c>
      <c r="I66" s="10">
        <v>0</v>
      </c>
      <c r="J66" s="7">
        <v>1080.31</v>
      </c>
      <c r="K66" t="s">
        <v>44</v>
      </c>
    </row>
    <row r="67" spans="1:11" x14ac:dyDescent="0.25">
      <c r="A67" t="s">
        <v>127</v>
      </c>
      <c r="B67" s="9">
        <v>45736</v>
      </c>
      <c r="C67" t="s">
        <v>42</v>
      </c>
      <c r="D67" t="s">
        <v>23</v>
      </c>
      <c r="E67" t="s">
        <v>70</v>
      </c>
      <c r="F67" t="s">
        <v>16</v>
      </c>
      <c r="G67">
        <v>7</v>
      </c>
      <c r="H67" s="7">
        <v>53629.33</v>
      </c>
      <c r="I67" s="10">
        <v>0.05</v>
      </c>
      <c r="J67" s="7">
        <v>356635.04</v>
      </c>
      <c r="K67" t="s">
        <v>44</v>
      </c>
    </row>
    <row r="68" spans="1:11" x14ac:dyDescent="0.25">
      <c r="A68" t="s">
        <v>128</v>
      </c>
      <c r="B68" s="9">
        <v>45738</v>
      </c>
      <c r="C68" t="s">
        <v>54</v>
      </c>
      <c r="D68" t="s">
        <v>17</v>
      </c>
      <c r="E68" t="s">
        <v>75</v>
      </c>
      <c r="F68" t="s">
        <v>22</v>
      </c>
      <c r="G68">
        <v>1</v>
      </c>
      <c r="H68" s="7">
        <v>151.96</v>
      </c>
      <c r="I68" s="10">
        <v>0.15</v>
      </c>
      <c r="J68" s="7">
        <v>129.16999999999999</v>
      </c>
      <c r="K68" t="s">
        <v>47</v>
      </c>
    </row>
    <row r="69" spans="1:11" x14ac:dyDescent="0.25">
      <c r="A69" t="s">
        <v>129</v>
      </c>
      <c r="B69" s="9">
        <v>45743</v>
      </c>
      <c r="C69" t="s">
        <v>72</v>
      </c>
      <c r="D69" t="s">
        <v>17</v>
      </c>
      <c r="E69" t="s">
        <v>65</v>
      </c>
      <c r="F69" t="s">
        <v>19</v>
      </c>
      <c r="G69">
        <v>3</v>
      </c>
      <c r="H69" s="7">
        <v>10176.15</v>
      </c>
      <c r="I69" s="10">
        <v>0.15</v>
      </c>
      <c r="J69" s="7">
        <v>25949.18</v>
      </c>
      <c r="K69" t="s">
        <v>50</v>
      </c>
    </row>
    <row r="70" spans="1:11" x14ac:dyDescent="0.25">
      <c r="A70" t="s">
        <v>130</v>
      </c>
      <c r="B70" s="9">
        <v>45743</v>
      </c>
      <c r="C70" t="s">
        <v>59</v>
      </c>
      <c r="D70" t="s">
        <v>14</v>
      </c>
      <c r="E70" t="s">
        <v>65</v>
      </c>
      <c r="F70" t="s">
        <v>19</v>
      </c>
      <c r="G70">
        <v>5</v>
      </c>
      <c r="H70" s="7">
        <v>8904.56</v>
      </c>
      <c r="I70" s="10">
        <v>0.1</v>
      </c>
      <c r="J70" s="7">
        <v>40070.519999999997</v>
      </c>
      <c r="K70" t="s">
        <v>44</v>
      </c>
    </row>
    <row r="71" spans="1:11" x14ac:dyDescent="0.25">
      <c r="A71" t="s">
        <v>131</v>
      </c>
      <c r="B71" s="9">
        <v>45744</v>
      </c>
      <c r="C71" t="s">
        <v>81</v>
      </c>
      <c r="D71" t="s">
        <v>14</v>
      </c>
      <c r="E71" t="s">
        <v>43</v>
      </c>
      <c r="F71" t="s">
        <v>19</v>
      </c>
      <c r="G71">
        <v>3</v>
      </c>
      <c r="H71" s="7">
        <v>7390.02</v>
      </c>
      <c r="I71" s="10">
        <v>0.1</v>
      </c>
      <c r="J71" s="7">
        <v>19953.05</v>
      </c>
      <c r="K71" t="s">
        <v>47</v>
      </c>
    </row>
    <row r="72" spans="1:11" x14ac:dyDescent="0.25">
      <c r="A72" t="s">
        <v>132</v>
      </c>
      <c r="B72" s="9">
        <v>45745</v>
      </c>
      <c r="C72" t="s">
        <v>81</v>
      </c>
      <c r="D72" t="s">
        <v>14</v>
      </c>
      <c r="E72" t="s">
        <v>43</v>
      </c>
      <c r="F72" t="s">
        <v>19</v>
      </c>
      <c r="G72">
        <v>7</v>
      </c>
      <c r="H72" s="7">
        <v>7569.39</v>
      </c>
      <c r="I72" s="10">
        <v>0</v>
      </c>
      <c r="J72" s="7">
        <v>52985.73</v>
      </c>
      <c r="K72" t="s">
        <v>44</v>
      </c>
    </row>
    <row r="73" spans="1:11" x14ac:dyDescent="0.25">
      <c r="A73" t="s">
        <v>133</v>
      </c>
      <c r="B73" s="9">
        <v>45745</v>
      </c>
      <c r="C73" t="s">
        <v>84</v>
      </c>
      <c r="D73" t="s">
        <v>20</v>
      </c>
      <c r="E73" t="s">
        <v>62</v>
      </c>
      <c r="F73" t="s">
        <v>13</v>
      </c>
      <c r="G73">
        <v>4</v>
      </c>
      <c r="H73" s="7">
        <v>1136.0999999999999</v>
      </c>
      <c r="I73" s="10">
        <v>0</v>
      </c>
      <c r="J73" s="7">
        <v>4544.3999999999996</v>
      </c>
      <c r="K73" t="s">
        <v>50</v>
      </c>
    </row>
    <row r="74" spans="1:11" x14ac:dyDescent="0.25">
      <c r="A74" t="s">
        <v>134</v>
      </c>
      <c r="B74" s="9">
        <v>45745</v>
      </c>
      <c r="C74" t="s">
        <v>49</v>
      </c>
      <c r="D74" t="s">
        <v>17</v>
      </c>
      <c r="E74" t="s">
        <v>65</v>
      </c>
      <c r="F74" t="s">
        <v>19</v>
      </c>
      <c r="G74">
        <v>2</v>
      </c>
      <c r="H74" s="7">
        <v>9561.5</v>
      </c>
      <c r="I74" s="10">
        <v>0.1</v>
      </c>
      <c r="J74" s="7">
        <v>17210.7</v>
      </c>
      <c r="K74" t="s">
        <v>44</v>
      </c>
    </row>
    <row r="75" spans="1:11" x14ac:dyDescent="0.25">
      <c r="A75" t="s">
        <v>135</v>
      </c>
      <c r="B75" s="9">
        <v>45745</v>
      </c>
      <c r="C75" t="s">
        <v>42</v>
      </c>
      <c r="D75" t="s">
        <v>17</v>
      </c>
      <c r="E75" t="s">
        <v>75</v>
      </c>
      <c r="F75" t="s">
        <v>22</v>
      </c>
      <c r="G75">
        <v>8</v>
      </c>
      <c r="H75" s="7">
        <v>145.22999999999999</v>
      </c>
      <c r="I75" s="10">
        <v>0</v>
      </c>
      <c r="J75" s="7">
        <v>1161.8399999999999</v>
      </c>
      <c r="K75" t="s">
        <v>50</v>
      </c>
    </row>
    <row r="76" spans="1:11" x14ac:dyDescent="0.25">
      <c r="A76" t="s">
        <v>136</v>
      </c>
      <c r="B76" s="9">
        <v>45746</v>
      </c>
      <c r="C76" t="s">
        <v>56</v>
      </c>
      <c r="D76" t="s">
        <v>20</v>
      </c>
      <c r="E76" t="s">
        <v>46</v>
      </c>
      <c r="F76" t="s">
        <v>13</v>
      </c>
      <c r="G76">
        <v>8</v>
      </c>
      <c r="H76" s="7">
        <v>579.91</v>
      </c>
      <c r="I76" s="10">
        <v>0</v>
      </c>
      <c r="J76" s="7">
        <v>4639.28</v>
      </c>
      <c r="K76" t="s">
        <v>50</v>
      </c>
    </row>
    <row r="77" spans="1:11" x14ac:dyDescent="0.25">
      <c r="A77" t="s">
        <v>137</v>
      </c>
      <c r="B77" s="9">
        <v>45747</v>
      </c>
      <c r="C77" t="s">
        <v>72</v>
      </c>
      <c r="D77" t="s">
        <v>17</v>
      </c>
      <c r="E77" t="s">
        <v>65</v>
      </c>
      <c r="F77" t="s">
        <v>19</v>
      </c>
      <c r="G77">
        <v>6</v>
      </c>
      <c r="H77" s="7">
        <v>9300.64</v>
      </c>
      <c r="I77" s="10">
        <v>0.15</v>
      </c>
      <c r="J77" s="7">
        <v>47433.26</v>
      </c>
      <c r="K77" t="s">
        <v>47</v>
      </c>
    </row>
    <row r="78" spans="1:11" x14ac:dyDescent="0.25">
      <c r="A78" t="s">
        <v>138</v>
      </c>
      <c r="B78" s="9">
        <v>45750</v>
      </c>
      <c r="C78" t="s">
        <v>42</v>
      </c>
      <c r="D78" t="s">
        <v>14</v>
      </c>
      <c r="E78" t="s">
        <v>57</v>
      </c>
      <c r="F78" t="s">
        <v>16</v>
      </c>
      <c r="G78">
        <v>2</v>
      </c>
      <c r="H78" s="7">
        <v>12885.08</v>
      </c>
      <c r="I78" s="10">
        <v>0</v>
      </c>
      <c r="J78" s="7">
        <v>25770.16</v>
      </c>
      <c r="K78" t="s">
        <v>44</v>
      </c>
    </row>
    <row r="79" spans="1:11" x14ac:dyDescent="0.25">
      <c r="A79" t="s">
        <v>139</v>
      </c>
      <c r="B79" s="9">
        <v>45750</v>
      </c>
      <c r="C79" t="s">
        <v>56</v>
      </c>
      <c r="D79" t="s">
        <v>23</v>
      </c>
      <c r="E79" t="s">
        <v>65</v>
      </c>
      <c r="F79" t="s">
        <v>19</v>
      </c>
      <c r="G79">
        <v>6</v>
      </c>
      <c r="H79" s="7">
        <v>10181</v>
      </c>
      <c r="I79" s="10">
        <v>0.15</v>
      </c>
      <c r="J79" s="7">
        <v>51923.1</v>
      </c>
      <c r="K79" t="s">
        <v>50</v>
      </c>
    </row>
    <row r="80" spans="1:11" x14ac:dyDescent="0.25">
      <c r="A80" t="s">
        <v>140</v>
      </c>
      <c r="B80" s="9">
        <v>45754</v>
      </c>
      <c r="C80" t="s">
        <v>81</v>
      </c>
      <c r="D80" t="s">
        <v>23</v>
      </c>
      <c r="E80" t="s">
        <v>43</v>
      </c>
      <c r="F80" t="s">
        <v>19</v>
      </c>
      <c r="G80">
        <v>2</v>
      </c>
      <c r="H80" s="7">
        <v>8152.95</v>
      </c>
      <c r="I80" s="10">
        <v>0</v>
      </c>
      <c r="J80" s="7">
        <v>16305.9</v>
      </c>
      <c r="K80" t="s">
        <v>47</v>
      </c>
    </row>
    <row r="81" spans="1:11" x14ac:dyDescent="0.25">
      <c r="A81" t="s">
        <v>141</v>
      </c>
      <c r="B81" s="9">
        <v>45755</v>
      </c>
      <c r="C81" t="s">
        <v>49</v>
      </c>
      <c r="D81" t="s">
        <v>14</v>
      </c>
      <c r="E81" t="s">
        <v>70</v>
      </c>
      <c r="F81" t="s">
        <v>16</v>
      </c>
      <c r="G81">
        <v>3</v>
      </c>
      <c r="H81" s="7">
        <v>53409.58</v>
      </c>
      <c r="I81" s="10">
        <v>0</v>
      </c>
      <c r="J81" s="7">
        <v>160228.74</v>
      </c>
      <c r="K81" t="s">
        <v>50</v>
      </c>
    </row>
    <row r="82" spans="1:11" x14ac:dyDescent="0.25">
      <c r="A82" t="s">
        <v>142</v>
      </c>
      <c r="B82" s="9">
        <v>45756</v>
      </c>
      <c r="C82" t="s">
        <v>81</v>
      </c>
      <c r="D82" t="s">
        <v>14</v>
      </c>
      <c r="E82" t="s">
        <v>62</v>
      </c>
      <c r="F82" t="s">
        <v>13</v>
      </c>
      <c r="G82">
        <v>3</v>
      </c>
      <c r="H82" s="7">
        <v>1224.25</v>
      </c>
      <c r="I82" s="10">
        <v>0</v>
      </c>
      <c r="J82" s="7">
        <v>3672.75</v>
      </c>
      <c r="K82" t="s">
        <v>50</v>
      </c>
    </row>
    <row r="83" spans="1:11" x14ac:dyDescent="0.25">
      <c r="A83" t="s">
        <v>143</v>
      </c>
      <c r="B83" s="9">
        <v>45758</v>
      </c>
      <c r="C83" t="s">
        <v>72</v>
      </c>
      <c r="D83" t="s">
        <v>23</v>
      </c>
      <c r="E83" t="s">
        <v>43</v>
      </c>
      <c r="F83" t="s">
        <v>19</v>
      </c>
      <c r="G83">
        <v>3</v>
      </c>
      <c r="H83" s="7">
        <v>8308.26</v>
      </c>
      <c r="I83" s="10">
        <v>0.05</v>
      </c>
      <c r="J83" s="7">
        <v>23678.54</v>
      </c>
      <c r="K83" t="s">
        <v>50</v>
      </c>
    </row>
    <row r="84" spans="1:11" x14ac:dyDescent="0.25">
      <c r="A84" t="s">
        <v>144</v>
      </c>
      <c r="B84" s="9">
        <v>45760</v>
      </c>
      <c r="C84" t="s">
        <v>56</v>
      </c>
      <c r="D84" t="s">
        <v>20</v>
      </c>
      <c r="E84" t="s">
        <v>68</v>
      </c>
      <c r="F84" t="s">
        <v>13</v>
      </c>
      <c r="G84">
        <v>3</v>
      </c>
      <c r="H84" s="7">
        <v>651.89</v>
      </c>
      <c r="I84" s="10">
        <v>0.05</v>
      </c>
      <c r="J84" s="7">
        <v>1857.89</v>
      </c>
      <c r="K84" t="s">
        <v>44</v>
      </c>
    </row>
    <row r="85" spans="1:11" x14ac:dyDescent="0.25">
      <c r="A85" t="s">
        <v>145</v>
      </c>
      <c r="B85" s="9">
        <v>45760</v>
      </c>
      <c r="C85" t="s">
        <v>49</v>
      </c>
      <c r="D85" t="s">
        <v>17</v>
      </c>
      <c r="E85" t="s">
        <v>70</v>
      </c>
      <c r="F85" t="s">
        <v>16</v>
      </c>
      <c r="G85">
        <v>5</v>
      </c>
      <c r="H85" s="7">
        <v>54524.71</v>
      </c>
      <c r="I85" s="10">
        <v>0.1</v>
      </c>
      <c r="J85" s="7">
        <v>245361.2</v>
      </c>
      <c r="K85" t="s">
        <v>44</v>
      </c>
    </row>
    <row r="86" spans="1:11" x14ac:dyDescent="0.25">
      <c r="A86" t="s">
        <v>146</v>
      </c>
      <c r="B86" s="9">
        <v>45760</v>
      </c>
      <c r="C86" t="s">
        <v>84</v>
      </c>
      <c r="D86" t="s">
        <v>17</v>
      </c>
      <c r="E86" t="s">
        <v>62</v>
      </c>
      <c r="F86" t="s">
        <v>13</v>
      </c>
      <c r="G86">
        <v>3</v>
      </c>
      <c r="H86" s="7">
        <v>1154.8599999999999</v>
      </c>
      <c r="I86" s="10">
        <v>0.1</v>
      </c>
      <c r="J86" s="7">
        <v>3118.12</v>
      </c>
      <c r="K86" t="s">
        <v>47</v>
      </c>
    </row>
    <row r="87" spans="1:11" x14ac:dyDescent="0.25">
      <c r="A87" t="s">
        <v>147</v>
      </c>
      <c r="B87" s="9">
        <v>45764</v>
      </c>
      <c r="C87" t="s">
        <v>54</v>
      </c>
      <c r="D87" t="s">
        <v>14</v>
      </c>
      <c r="E87" t="s">
        <v>52</v>
      </c>
      <c r="F87" t="s">
        <v>16</v>
      </c>
      <c r="G87">
        <v>7</v>
      </c>
      <c r="H87" s="7">
        <v>1789.54</v>
      </c>
      <c r="I87" s="10">
        <v>0.1</v>
      </c>
      <c r="J87" s="7">
        <v>11274.1</v>
      </c>
      <c r="K87" t="s">
        <v>44</v>
      </c>
    </row>
    <row r="88" spans="1:11" x14ac:dyDescent="0.25">
      <c r="A88" t="s">
        <v>148</v>
      </c>
      <c r="B88" s="9">
        <v>45765</v>
      </c>
      <c r="C88" t="s">
        <v>72</v>
      </c>
      <c r="D88" t="s">
        <v>23</v>
      </c>
      <c r="E88" t="s">
        <v>65</v>
      </c>
      <c r="F88" t="s">
        <v>19</v>
      </c>
      <c r="G88">
        <v>3</v>
      </c>
      <c r="H88" s="7">
        <v>9939.9699999999993</v>
      </c>
      <c r="I88" s="10">
        <v>0</v>
      </c>
      <c r="J88" s="7">
        <v>29819.91</v>
      </c>
      <c r="K88" t="s">
        <v>50</v>
      </c>
    </row>
    <row r="89" spans="1:11" x14ac:dyDescent="0.25">
      <c r="A89" t="s">
        <v>149</v>
      </c>
      <c r="B89" s="9">
        <v>45766</v>
      </c>
      <c r="C89" t="s">
        <v>54</v>
      </c>
      <c r="D89" t="s">
        <v>20</v>
      </c>
      <c r="E89" t="s">
        <v>57</v>
      </c>
      <c r="F89" t="s">
        <v>16</v>
      </c>
      <c r="G89">
        <v>7</v>
      </c>
      <c r="H89" s="7">
        <v>13281.48</v>
      </c>
      <c r="I89" s="10">
        <v>0.05</v>
      </c>
      <c r="J89" s="7">
        <v>88321.84</v>
      </c>
      <c r="K89" t="s">
        <v>47</v>
      </c>
    </row>
    <row r="90" spans="1:11" x14ac:dyDescent="0.25">
      <c r="A90" t="s">
        <v>150</v>
      </c>
      <c r="B90" s="9">
        <v>45767</v>
      </c>
      <c r="C90" t="s">
        <v>84</v>
      </c>
      <c r="D90" t="s">
        <v>23</v>
      </c>
      <c r="E90" t="s">
        <v>57</v>
      </c>
      <c r="F90" t="s">
        <v>16</v>
      </c>
      <c r="G90">
        <v>1</v>
      </c>
      <c r="H90" s="7">
        <v>12142.52</v>
      </c>
      <c r="I90" s="10">
        <v>0.15</v>
      </c>
      <c r="J90" s="7">
        <v>10321.14</v>
      </c>
      <c r="K90" t="s">
        <v>47</v>
      </c>
    </row>
    <row r="91" spans="1:11" x14ac:dyDescent="0.25">
      <c r="A91" t="s">
        <v>151</v>
      </c>
      <c r="B91" s="9">
        <v>45769</v>
      </c>
      <c r="C91" t="s">
        <v>56</v>
      </c>
      <c r="D91" t="s">
        <v>17</v>
      </c>
      <c r="E91" t="s">
        <v>70</v>
      </c>
      <c r="F91" t="s">
        <v>16</v>
      </c>
      <c r="G91">
        <v>1</v>
      </c>
      <c r="H91" s="7">
        <v>53681.9</v>
      </c>
      <c r="I91" s="10">
        <v>0.1</v>
      </c>
      <c r="J91" s="7">
        <v>48313.71</v>
      </c>
      <c r="K91" t="s">
        <v>44</v>
      </c>
    </row>
    <row r="92" spans="1:11" x14ac:dyDescent="0.25">
      <c r="A92" t="s">
        <v>152</v>
      </c>
      <c r="B92" s="9">
        <v>45769</v>
      </c>
      <c r="C92" t="s">
        <v>56</v>
      </c>
      <c r="D92" t="s">
        <v>23</v>
      </c>
      <c r="E92" t="s">
        <v>75</v>
      </c>
      <c r="F92" t="s">
        <v>22</v>
      </c>
      <c r="G92">
        <v>3</v>
      </c>
      <c r="H92" s="7">
        <v>155.74</v>
      </c>
      <c r="I92" s="10">
        <v>0.05</v>
      </c>
      <c r="J92" s="7">
        <v>443.86</v>
      </c>
      <c r="K92" t="s">
        <v>44</v>
      </c>
    </row>
    <row r="93" spans="1:11" x14ac:dyDescent="0.25">
      <c r="A93" t="s">
        <v>153</v>
      </c>
      <c r="B93" s="9">
        <v>45769</v>
      </c>
      <c r="C93" t="s">
        <v>81</v>
      </c>
      <c r="D93" t="s">
        <v>20</v>
      </c>
      <c r="E93" t="s">
        <v>65</v>
      </c>
      <c r="F93" t="s">
        <v>19</v>
      </c>
      <c r="G93">
        <v>3</v>
      </c>
      <c r="H93" s="7">
        <v>9456.56</v>
      </c>
      <c r="I93" s="10">
        <v>0.05</v>
      </c>
      <c r="J93" s="7">
        <v>26951.200000000001</v>
      </c>
      <c r="K93" t="s">
        <v>50</v>
      </c>
    </row>
    <row r="94" spans="1:11" x14ac:dyDescent="0.25">
      <c r="A94" t="s">
        <v>154</v>
      </c>
      <c r="B94" s="9">
        <v>45770</v>
      </c>
      <c r="C94" t="s">
        <v>56</v>
      </c>
      <c r="D94" t="s">
        <v>20</v>
      </c>
      <c r="E94" t="s">
        <v>62</v>
      </c>
      <c r="F94" t="s">
        <v>13</v>
      </c>
      <c r="G94">
        <v>4</v>
      </c>
      <c r="H94" s="7">
        <v>1129.8800000000001</v>
      </c>
      <c r="I94" s="10">
        <v>0.1</v>
      </c>
      <c r="J94" s="7">
        <v>4067.57</v>
      </c>
      <c r="K94" t="s">
        <v>47</v>
      </c>
    </row>
    <row r="95" spans="1:11" x14ac:dyDescent="0.25">
      <c r="A95" t="s">
        <v>155</v>
      </c>
      <c r="B95" s="9">
        <v>45770</v>
      </c>
      <c r="C95" t="s">
        <v>49</v>
      </c>
      <c r="D95" t="s">
        <v>14</v>
      </c>
      <c r="E95" t="s">
        <v>43</v>
      </c>
      <c r="F95" t="s">
        <v>19</v>
      </c>
      <c r="G95">
        <v>1</v>
      </c>
      <c r="H95" s="7">
        <v>7635.91</v>
      </c>
      <c r="I95" s="10">
        <v>0.05</v>
      </c>
      <c r="J95" s="7">
        <v>7254.11</v>
      </c>
      <c r="K95" t="s">
        <v>44</v>
      </c>
    </row>
    <row r="96" spans="1:11" x14ac:dyDescent="0.25">
      <c r="A96" t="s">
        <v>156</v>
      </c>
      <c r="B96" s="9">
        <v>45772</v>
      </c>
      <c r="C96" t="s">
        <v>42</v>
      </c>
      <c r="D96" t="s">
        <v>20</v>
      </c>
      <c r="E96" t="s">
        <v>62</v>
      </c>
      <c r="F96" t="s">
        <v>13</v>
      </c>
      <c r="G96">
        <v>1</v>
      </c>
      <c r="H96" s="7">
        <v>1192</v>
      </c>
      <c r="I96" s="10">
        <v>0</v>
      </c>
      <c r="J96" s="7">
        <v>1192</v>
      </c>
      <c r="K96" t="s">
        <v>47</v>
      </c>
    </row>
    <row r="97" spans="1:11" x14ac:dyDescent="0.25">
      <c r="A97" t="s">
        <v>157</v>
      </c>
      <c r="B97" s="9">
        <v>45780</v>
      </c>
      <c r="C97" t="s">
        <v>42</v>
      </c>
      <c r="D97" t="s">
        <v>17</v>
      </c>
      <c r="E97" t="s">
        <v>70</v>
      </c>
      <c r="F97" t="s">
        <v>16</v>
      </c>
      <c r="G97">
        <v>6</v>
      </c>
      <c r="H97" s="7">
        <v>51383.27</v>
      </c>
      <c r="I97" s="10">
        <v>0.15</v>
      </c>
      <c r="J97" s="7">
        <v>262054.68</v>
      </c>
      <c r="K97" t="s">
        <v>50</v>
      </c>
    </row>
    <row r="98" spans="1:11" x14ac:dyDescent="0.25">
      <c r="A98" t="s">
        <v>158</v>
      </c>
      <c r="B98" s="9">
        <v>45781</v>
      </c>
      <c r="C98" t="s">
        <v>72</v>
      </c>
      <c r="D98" t="s">
        <v>23</v>
      </c>
      <c r="E98" t="s">
        <v>57</v>
      </c>
      <c r="F98" t="s">
        <v>16</v>
      </c>
      <c r="G98">
        <v>5</v>
      </c>
      <c r="H98" s="7">
        <v>12651.87</v>
      </c>
      <c r="I98" s="10">
        <v>0.1</v>
      </c>
      <c r="J98" s="7">
        <v>56933.42</v>
      </c>
      <c r="K98" t="s">
        <v>44</v>
      </c>
    </row>
    <row r="99" spans="1:11" x14ac:dyDescent="0.25">
      <c r="A99" t="s">
        <v>159</v>
      </c>
      <c r="B99" s="9">
        <v>45781</v>
      </c>
      <c r="C99" t="s">
        <v>54</v>
      </c>
      <c r="D99" t="s">
        <v>23</v>
      </c>
      <c r="E99" t="s">
        <v>65</v>
      </c>
      <c r="F99" t="s">
        <v>19</v>
      </c>
      <c r="G99">
        <v>8</v>
      </c>
      <c r="H99" s="7">
        <v>9760.41</v>
      </c>
      <c r="I99" s="10">
        <v>0.05</v>
      </c>
      <c r="J99" s="7">
        <v>74179.12</v>
      </c>
      <c r="K99" t="s">
        <v>50</v>
      </c>
    </row>
    <row r="100" spans="1:11" x14ac:dyDescent="0.25">
      <c r="A100" t="s">
        <v>160</v>
      </c>
      <c r="B100" s="9">
        <v>45782</v>
      </c>
      <c r="C100" t="s">
        <v>59</v>
      </c>
      <c r="D100" t="s">
        <v>14</v>
      </c>
      <c r="E100" t="s">
        <v>46</v>
      </c>
      <c r="F100" t="s">
        <v>13</v>
      </c>
      <c r="G100">
        <v>1</v>
      </c>
      <c r="H100" s="7">
        <v>560.51</v>
      </c>
      <c r="I100" s="10">
        <v>0.05</v>
      </c>
      <c r="J100" s="7">
        <v>532.48</v>
      </c>
      <c r="K100" t="s">
        <v>50</v>
      </c>
    </row>
    <row r="101" spans="1:11" x14ac:dyDescent="0.25">
      <c r="A101" t="s">
        <v>161</v>
      </c>
      <c r="B101" s="9">
        <v>45783</v>
      </c>
      <c r="C101" t="s">
        <v>49</v>
      </c>
      <c r="D101" t="s">
        <v>14</v>
      </c>
      <c r="E101" t="s">
        <v>65</v>
      </c>
      <c r="F101" t="s">
        <v>19</v>
      </c>
      <c r="G101">
        <v>3</v>
      </c>
      <c r="H101" s="7">
        <v>9657.57</v>
      </c>
      <c r="I101" s="10">
        <v>0.15</v>
      </c>
      <c r="J101" s="7">
        <v>24626.799999999999</v>
      </c>
      <c r="K101" t="s">
        <v>47</v>
      </c>
    </row>
    <row r="102" spans="1:11" x14ac:dyDescent="0.25">
      <c r="A102" t="s">
        <v>162</v>
      </c>
      <c r="B102" s="9">
        <v>45783</v>
      </c>
      <c r="C102" t="s">
        <v>72</v>
      </c>
      <c r="D102" t="s">
        <v>14</v>
      </c>
      <c r="E102" t="s">
        <v>62</v>
      </c>
      <c r="F102" t="s">
        <v>13</v>
      </c>
      <c r="G102">
        <v>5</v>
      </c>
      <c r="H102" s="7">
        <v>1216.27</v>
      </c>
      <c r="I102" s="10">
        <v>0.1</v>
      </c>
      <c r="J102" s="7">
        <v>5473.22</v>
      </c>
      <c r="K102" t="s">
        <v>47</v>
      </c>
    </row>
    <row r="103" spans="1:11" x14ac:dyDescent="0.25">
      <c r="A103" t="s">
        <v>163</v>
      </c>
      <c r="B103" s="9">
        <v>45785</v>
      </c>
      <c r="C103" t="s">
        <v>49</v>
      </c>
      <c r="D103" t="s">
        <v>23</v>
      </c>
      <c r="E103" t="s">
        <v>75</v>
      </c>
      <c r="F103" t="s">
        <v>22</v>
      </c>
      <c r="G103">
        <v>3</v>
      </c>
      <c r="H103" s="7">
        <v>155.79</v>
      </c>
      <c r="I103" s="10">
        <v>0.1</v>
      </c>
      <c r="J103" s="7">
        <v>420.63</v>
      </c>
      <c r="K103" t="s">
        <v>50</v>
      </c>
    </row>
    <row r="104" spans="1:11" x14ac:dyDescent="0.25">
      <c r="A104" t="s">
        <v>164</v>
      </c>
      <c r="B104" s="9">
        <v>45786</v>
      </c>
      <c r="C104" t="s">
        <v>72</v>
      </c>
      <c r="D104" t="s">
        <v>17</v>
      </c>
      <c r="E104" t="s">
        <v>52</v>
      </c>
      <c r="F104" t="s">
        <v>16</v>
      </c>
      <c r="G104">
        <v>3</v>
      </c>
      <c r="H104" s="7">
        <v>1842.29</v>
      </c>
      <c r="I104" s="10">
        <v>0.15</v>
      </c>
      <c r="J104" s="7">
        <v>4697.84</v>
      </c>
      <c r="K104" t="s">
        <v>47</v>
      </c>
    </row>
    <row r="105" spans="1:11" x14ac:dyDescent="0.25">
      <c r="A105" t="s">
        <v>165</v>
      </c>
      <c r="B105" s="9">
        <v>45789</v>
      </c>
      <c r="C105" t="s">
        <v>72</v>
      </c>
      <c r="D105" t="s">
        <v>20</v>
      </c>
      <c r="E105" t="s">
        <v>92</v>
      </c>
      <c r="F105" t="s">
        <v>22</v>
      </c>
      <c r="G105">
        <v>2</v>
      </c>
      <c r="H105" s="7">
        <v>95.36</v>
      </c>
      <c r="I105" s="10">
        <v>0.1</v>
      </c>
      <c r="J105" s="7">
        <v>171.65</v>
      </c>
      <c r="K105" t="s">
        <v>47</v>
      </c>
    </row>
    <row r="106" spans="1:11" x14ac:dyDescent="0.25">
      <c r="A106" t="s">
        <v>166</v>
      </c>
      <c r="B106" s="9">
        <v>45790</v>
      </c>
      <c r="C106" t="s">
        <v>54</v>
      </c>
      <c r="D106" t="s">
        <v>23</v>
      </c>
      <c r="E106" t="s">
        <v>57</v>
      </c>
      <c r="F106" t="s">
        <v>16</v>
      </c>
      <c r="G106">
        <v>7</v>
      </c>
      <c r="H106" s="7">
        <v>13348.08</v>
      </c>
      <c r="I106" s="10">
        <v>0</v>
      </c>
      <c r="J106" s="7">
        <v>93436.56</v>
      </c>
      <c r="K106" t="s">
        <v>47</v>
      </c>
    </row>
    <row r="107" spans="1:11" x14ac:dyDescent="0.25">
      <c r="A107" t="s">
        <v>167</v>
      </c>
      <c r="B107" s="9">
        <v>45790</v>
      </c>
      <c r="C107" t="s">
        <v>84</v>
      </c>
      <c r="D107" t="s">
        <v>17</v>
      </c>
      <c r="E107" t="s">
        <v>43</v>
      </c>
      <c r="F107" t="s">
        <v>19</v>
      </c>
      <c r="G107">
        <v>3</v>
      </c>
      <c r="H107" s="7">
        <v>7383.71</v>
      </c>
      <c r="I107" s="10">
        <v>0.1</v>
      </c>
      <c r="J107" s="7">
        <v>19936.02</v>
      </c>
      <c r="K107" t="s">
        <v>44</v>
      </c>
    </row>
    <row r="108" spans="1:11" x14ac:dyDescent="0.25">
      <c r="A108" t="s">
        <v>168</v>
      </c>
      <c r="B108" s="9">
        <v>45791</v>
      </c>
      <c r="C108" t="s">
        <v>81</v>
      </c>
      <c r="D108" t="s">
        <v>14</v>
      </c>
      <c r="E108" t="s">
        <v>46</v>
      </c>
      <c r="F108" t="s">
        <v>13</v>
      </c>
      <c r="G108">
        <v>5</v>
      </c>
      <c r="H108" s="7">
        <v>520.02</v>
      </c>
      <c r="I108" s="10">
        <v>0</v>
      </c>
      <c r="J108" s="7">
        <v>2600.1</v>
      </c>
      <c r="K108" t="s">
        <v>50</v>
      </c>
    </row>
    <row r="109" spans="1:11" x14ac:dyDescent="0.25">
      <c r="A109" t="s">
        <v>169</v>
      </c>
      <c r="B109" s="9">
        <v>45791</v>
      </c>
      <c r="C109" t="s">
        <v>56</v>
      </c>
      <c r="D109" t="s">
        <v>17</v>
      </c>
      <c r="E109" t="s">
        <v>46</v>
      </c>
      <c r="F109" t="s">
        <v>13</v>
      </c>
      <c r="G109">
        <v>2</v>
      </c>
      <c r="H109" s="7">
        <v>569</v>
      </c>
      <c r="I109" s="10">
        <v>0.15</v>
      </c>
      <c r="J109" s="7">
        <v>967.3</v>
      </c>
      <c r="K109" t="s">
        <v>44</v>
      </c>
    </row>
    <row r="110" spans="1:11" x14ac:dyDescent="0.25">
      <c r="A110" t="s">
        <v>170</v>
      </c>
      <c r="B110" s="9">
        <v>45793</v>
      </c>
      <c r="C110" t="s">
        <v>59</v>
      </c>
      <c r="D110" t="s">
        <v>14</v>
      </c>
      <c r="E110" t="s">
        <v>57</v>
      </c>
      <c r="F110" t="s">
        <v>16</v>
      </c>
      <c r="G110">
        <v>6</v>
      </c>
      <c r="H110" s="7">
        <v>11623.09</v>
      </c>
      <c r="I110" s="10">
        <v>0.05</v>
      </c>
      <c r="J110" s="7">
        <v>66251.61</v>
      </c>
      <c r="K110" t="s">
        <v>44</v>
      </c>
    </row>
    <row r="111" spans="1:11" x14ac:dyDescent="0.25">
      <c r="A111" t="s">
        <v>171</v>
      </c>
      <c r="B111" s="9">
        <v>45798</v>
      </c>
      <c r="C111" t="s">
        <v>54</v>
      </c>
      <c r="D111" t="s">
        <v>23</v>
      </c>
      <c r="E111" t="s">
        <v>52</v>
      </c>
      <c r="F111" t="s">
        <v>16</v>
      </c>
      <c r="G111">
        <v>4</v>
      </c>
      <c r="H111" s="7">
        <v>1768.85</v>
      </c>
      <c r="I111" s="10">
        <v>0</v>
      </c>
      <c r="J111" s="7">
        <v>7075.4</v>
      </c>
      <c r="K111" t="s">
        <v>47</v>
      </c>
    </row>
    <row r="112" spans="1:11" x14ac:dyDescent="0.25">
      <c r="A112" t="s">
        <v>172</v>
      </c>
      <c r="B112" s="9">
        <v>45798</v>
      </c>
      <c r="C112" t="s">
        <v>54</v>
      </c>
      <c r="D112" t="s">
        <v>23</v>
      </c>
      <c r="E112" t="s">
        <v>75</v>
      </c>
      <c r="F112" t="s">
        <v>22</v>
      </c>
      <c r="G112">
        <v>8</v>
      </c>
      <c r="H112" s="7">
        <v>155.97</v>
      </c>
      <c r="I112" s="10">
        <v>0.1</v>
      </c>
      <c r="J112" s="7">
        <v>1122.98</v>
      </c>
      <c r="K112" t="s">
        <v>47</v>
      </c>
    </row>
    <row r="113" spans="1:11" x14ac:dyDescent="0.25">
      <c r="A113" t="s">
        <v>173</v>
      </c>
      <c r="B113" s="9">
        <v>45799</v>
      </c>
      <c r="C113" t="s">
        <v>84</v>
      </c>
      <c r="D113" t="s">
        <v>23</v>
      </c>
      <c r="E113" t="s">
        <v>57</v>
      </c>
      <c r="F113" t="s">
        <v>16</v>
      </c>
      <c r="G113">
        <v>2</v>
      </c>
      <c r="H113" s="7">
        <v>12384.36</v>
      </c>
      <c r="I113" s="10">
        <v>0</v>
      </c>
      <c r="J113" s="7">
        <v>24768.720000000001</v>
      </c>
      <c r="K113" t="s">
        <v>44</v>
      </c>
    </row>
    <row r="114" spans="1:11" x14ac:dyDescent="0.25">
      <c r="A114" t="s">
        <v>174</v>
      </c>
      <c r="B114" s="9">
        <v>45800</v>
      </c>
      <c r="C114" t="s">
        <v>49</v>
      </c>
      <c r="D114" t="s">
        <v>20</v>
      </c>
      <c r="E114" t="s">
        <v>46</v>
      </c>
      <c r="F114" t="s">
        <v>13</v>
      </c>
      <c r="G114">
        <v>8</v>
      </c>
      <c r="H114" s="7">
        <v>533.49</v>
      </c>
      <c r="I114" s="10">
        <v>0</v>
      </c>
      <c r="J114" s="7">
        <v>4267.92</v>
      </c>
      <c r="K114" t="s">
        <v>50</v>
      </c>
    </row>
    <row r="115" spans="1:11" x14ac:dyDescent="0.25">
      <c r="A115" t="s">
        <v>175</v>
      </c>
      <c r="B115" s="9">
        <v>45800</v>
      </c>
      <c r="C115" t="s">
        <v>72</v>
      </c>
      <c r="D115" t="s">
        <v>17</v>
      </c>
      <c r="E115" t="s">
        <v>46</v>
      </c>
      <c r="F115" t="s">
        <v>13</v>
      </c>
      <c r="G115">
        <v>4</v>
      </c>
      <c r="H115" s="7">
        <v>525.16</v>
      </c>
      <c r="I115" s="10">
        <v>0.1</v>
      </c>
      <c r="J115" s="7">
        <v>1890.58</v>
      </c>
      <c r="K115" t="s">
        <v>44</v>
      </c>
    </row>
    <row r="116" spans="1:11" x14ac:dyDescent="0.25">
      <c r="A116" t="s">
        <v>176</v>
      </c>
      <c r="B116" s="9">
        <v>45801</v>
      </c>
      <c r="C116" t="s">
        <v>54</v>
      </c>
      <c r="D116" t="s">
        <v>17</v>
      </c>
      <c r="E116" t="s">
        <v>52</v>
      </c>
      <c r="F116" t="s">
        <v>16</v>
      </c>
      <c r="G116">
        <v>4</v>
      </c>
      <c r="H116" s="7">
        <v>1870.25</v>
      </c>
      <c r="I116" s="10">
        <v>0.15</v>
      </c>
      <c r="J116" s="7">
        <v>6358.85</v>
      </c>
      <c r="K116" t="s">
        <v>50</v>
      </c>
    </row>
    <row r="117" spans="1:11" x14ac:dyDescent="0.25">
      <c r="A117" t="s">
        <v>177</v>
      </c>
      <c r="B117" s="9">
        <v>45803</v>
      </c>
      <c r="C117" t="s">
        <v>59</v>
      </c>
      <c r="D117" t="s">
        <v>20</v>
      </c>
      <c r="E117" t="s">
        <v>62</v>
      </c>
      <c r="F117" t="s">
        <v>13</v>
      </c>
      <c r="G117">
        <v>2</v>
      </c>
      <c r="H117" s="7">
        <v>1269.1099999999999</v>
      </c>
      <c r="I117" s="10">
        <v>0.1</v>
      </c>
      <c r="J117" s="7">
        <v>2284.4</v>
      </c>
      <c r="K117" t="s">
        <v>50</v>
      </c>
    </row>
    <row r="118" spans="1:11" x14ac:dyDescent="0.25">
      <c r="A118" t="s">
        <v>178</v>
      </c>
      <c r="B118" s="9">
        <v>45803</v>
      </c>
      <c r="C118" t="s">
        <v>56</v>
      </c>
      <c r="D118" t="s">
        <v>17</v>
      </c>
      <c r="E118" t="s">
        <v>62</v>
      </c>
      <c r="F118" t="s">
        <v>13</v>
      </c>
      <c r="G118">
        <v>8</v>
      </c>
      <c r="H118" s="7">
        <v>1179.94</v>
      </c>
      <c r="I118" s="10">
        <v>0.15</v>
      </c>
      <c r="J118" s="7">
        <v>8023.59</v>
      </c>
      <c r="K118" t="s">
        <v>47</v>
      </c>
    </row>
    <row r="119" spans="1:11" x14ac:dyDescent="0.25">
      <c r="A119" t="s">
        <v>179</v>
      </c>
      <c r="B119" s="9">
        <v>45804</v>
      </c>
      <c r="C119" t="s">
        <v>59</v>
      </c>
      <c r="D119" t="s">
        <v>23</v>
      </c>
      <c r="E119" t="s">
        <v>75</v>
      </c>
      <c r="F119" t="s">
        <v>22</v>
      </c>
      <c r="G119">
        <v>8</v>
      </c>
      <c r="H119" s="7">
        <v>148.29</v>
      </c>
      <c r="I119" s="10">
        <v>0.05</v>
      </c>
      <c r="J119" s="7">
        <v>1127</v>
      </c>
      <c r="K119" t="s">
        <v>47</v>
      </c>
    </row>
    <row r="120" spans="1:11" x14ac:dyDescent="0.25">
      <c r="A120" t="s">
        <v>180</v>
      </c>
      <c r="B120" s="9">
        <v>45805</v>
      </c>
      <c r="C120" t="s">
        <v>59</v>
      </c>
      <c r="D120" t="s">
        <v>20</v>
      </c>
      <c r="E120" t="s">
        <v>62</v>
      </c>
      <c r="F120" t="s">
        <v>13</v>
      </c>
      <c r="G120">
        <v>4</v>
      </c>
      <c r="H120" s="7">
        <v>1123.04</v>
      </c>
      <c r="I120" s="10">
        <v>0.05</v>
      </c>
      <c r="J120" s="7">
        <v>4267.55</v>
      </c>
      <c r="K120" t="s">
        <v>44</v>
      </c>
    </row>
    <row r="121" spans="1:11" x14ac:dyDescent="0.25">
      <c r="A121" t="s">
        <v>181</v>
      </c>
      <c r="B121" s="9">
        <v>45806</v>
      </c>
      <c r="C121" t="s">
        <v>59</v>
      </c>
      <c r="D121" t="s">
        <v>17</v>
      </c>
      <c r="E121" t="s">
        <v>46</v>
      </c>
      <c r="F121" t="s">
        <v>13</v>
      </c>
      <c r="G121">
        <v>5</v>
      </c>
      <c r="H121" s="7">
        <v>585.41999999999996</v>
      </c>
      <c r="I121" s="10">
        <v>0.15</v>
      </c>
      <c r="J121" s="7">
        <v>2488.0300000000002</v>
      </c>
      <c r="K121" t="s">
        <v>50</v>
      </c>
    </row>
    <row r="122" spans="1:11" x14ac:dyDescent="0.25">
      <c r="A122" t="s">
        <v>182</v>
      </c>
      <c r="B122" s="9">
        <v>45806</v>
      </c>
      <c r="C122" t="s">
        <v>49</v>
      </c>
      <c r="D122" t="s">
        <v>14</v>
      </c>
      <c r="E122" t="s">
        <v>46</v>
      </c>
      <c r="F122" t="s">
        <v>13</v>
      </c>
      <c r="G122">
        <v>2</v>
      </c>
      <c r="H122" s="7">
        <v>525.47</v>
      </c>
      <c r="I122" s="10">
        <v>0.1</v>
      </c>
      <c r="J122" s="7">
        <v>945.85</v>
      </c>
      <c r="K122" t="s">
        <v>47</v>
      </c>
    </row>
    <row r="123" spans="1:11" x14ac:dyDescent="0.25">
      <c r="A123" t="s">
        <v>183</v>
      </c>
      <c r="B123" s="9">
        <v>45808</v>
      </c>
      <c r="C123" t="s">
        <v>84</v>
      </c>
      <c r="D123" t="s">
        <v>20</v>
      </c>
      <c r="E123" t="s">
        <v>57</v>
      </c>
      <c r="F123" t="s">
        <v>16</v>
      </c>
      <c r="G123">
        <v>8</v>
      </c>
      <c r="H123" s="7">
        <v>13003.4</v>
      </c>
      <c r="I123" s="10">
        <v>0</v>
      </c>
      <c r="J123" s="7">
        <v>104027.2</v>
      </c>
      <c r="K123" t="s">
        <v>47</v>
      </c>
    </row>
    <row r="124" spans="1:11" x14ac:dyDescent="0.25">
      <c r="A124" t="s">
        <v>184</v>
      </c>
      <c r="B124" s="9">
        <v>45808</v>
      </c>
      <c r="C124" t="s">
        <v>54</v>
      </c>
      <c r="D124" t="s">
        <v>20</v>
      </c>
      <c r="E124" t="s">
        <v>65</v>
      </c>
      <c r="F124" t="s">
        <v>19</v>
      </c>
      <c r="G124">
        <v>3</v>
      </c>
      <c r="H124" s="7">
        <v>9045.57</v>
      </c>
      <c r="I124" s="10">
        <v>0</v>
      </c>
      <c r="J124" s="7">
        <v>27136.71</v>
      </c>
      <c r="K124" t="s">
        <v>44</v>
      </c>
    </row>
    <row r="125" spans="1:11" x14ac:dyDescent="0.25">
      <c r="A125" t="s">
        <v>185</v>
      </c>
      <c r="B125" s="9">
        <v>45811</v>
      </c>
      <c r="C125" t="s">
        <v>59</v>
      </c>
      <c r="D125" t="s">
        <v>23</v>
      </c>
      <c r="E125" t="s">
        <v>43</v>
      </c>
      <c r="F125" t="s">
        <v>19</v>
      </c>
      <c r="G125">
        <v>8</v>
      </c>
      <c r="H125" s="7">
        <v>7830.66</v>
      </c>
      <c r="I125" s="10">
        <v>0</v>
      </c>
      <c r="J125" s="7">
        <v>62645.279999999999</v>
      </c>
      <c r="K125" t="s">
        <v>47</v>
      </c>
    </row>
    <row r="126" spans="1:11" x14ac:dyDescent="0.25">
      <c r="A126" t="s">
        <v>186</v>
      </c>
      <c r="B126" s="9">
        <v>45812</v>
      </c>
      <c r="C126" t="s">
        <v>81</v>
      </c>
      <c r="D126" t="s">
        <v>17</v>
      </c>
      <c r="E126" t="s">
        <v>75</v>
      </c>
      <c r="F126" t="s">
        <v>22</v>
      </c>
      <c r="G126">
        <v>4</v>
      </c>
      <c r="H126" s="7">
        <v>146.05000000000001</v>
      </c>
      <c r="I126" s="10">
        <v>0.15</v>
      </c>
      <c r="J126" s="7">
        <v>496.57</v>
      </c>
      <c r="K126" t="s">
        <v>44</v>
      </c>
    </row>
    <row r="127" spans="1:11" x14ac:dyDescent="0.25">
      <c r="A127" t="s">
        <v>187</v>
      </c>
      <c r="B127" s="9">
        <v>45814</v>
      </c>
      <c r="C127" t="s">
        <v>72</v>
      </c>
      <c r="D127" t="s">
        <v>23</v>
      </c>
      <c r="E127" t="s">
        <v>57</v>
      </c>
      <c r="F127" t="s">
        <v>16</v>
      </c>
      <c r="G127">
        <v>5</v>
      </c>
      <c r="H127" s="7">
        <v>12791.98</v>
      </c>
      <c r="I127" s="10">
        <v>0.15</v>
      </c>
      <c r="J127" s="7">
        <v>54365.91</v>
      </c>
      <c r="K127" t="s">
        <v>44</v>
      </c>
    </row>
    <row r="128" spans="1:11" x14ac:dyDescent="0.25">
      <c r="A128" t="s">
        <v>188</v>
      </c>
      <c r="B128" s="9">
        <v>45819</v>
      </c>
      <c r="C128" t="s">
        <v>81</v>
      </c>
      <c r="D128" t="s">
        <v>14</v>
      </c>
      <c r="E128" t="s">
        <v>62</v>
      </c>
      <c r="F128" t="s">
        <v>13</v>
      </c>
      <c r="G128">
        <v>1</v>
      </c>
      <c r="H128" s="7">
        <v>1225.31</v>
      </c>
      <c r="I128" s="10">
        <v>0.05</v>
      </c>
      <c r="J128" s="7">
        <v>1164.04</v>
      </c>
      <c r="K128" t="s">
        <v>44</v>
      </c>
    </row>
    <row r="129" spans="1:11" x14ac:dyDescent="0.25">
      <c r="A129" t="s">
        <v>189</v>
      </c>
      <c r="B129" s="9">
        <v>45823</v>
      </c>
      <c r="C129" t="s">
        <v>84</v>
      </c>
      <c r="D129" t="s">
        <v>20</v>
      </c>
      <c r="E129" t="s">
        <v>70</v>
      </c>
      <c r="F129" t="s">
        <v>16</v>
      </c>
      <c r="G129">
        <v>1</v>
      </c>
      <c r="H129" s="7">
        <v>53934.44</v>
      </c>
      <c r="I129" s="10">
        <v>0.05</v>
      </c>
      <c r="J129" s="7">
        <v>51237.72</v>
      </c>
      <c r="K129" t="s">
        <v>50</v>
      </c>
    </row>
    <row r="130" spans="1:11" x14ac:dyDescent="0.25">
      <c r="A130" t="s">
        <v>190</v>
      </c>
      <c r="B130" s="9">
        <v>45824</v>
      </c>
      <c r="C130" t="s">
        <v>42</v>
      </c>
      <c r="D130" t="s">
        <v>17</v>
      </c>
      <c r="E130" t="s">
        <v>43</v>
      </c>
      <c r="F130" t="s">
        <v>19</v>
      </c>
      <c r="G130">
        <v>1</v>
      </c>
      <c r="H130" s="7">
        <v>7886.41</v>
      </c>
      <c r="I130" s="10">
        <v>0</v>
      </c>
      <c r="J130" s="7">
        <v>7886.41</v>
      </c>
      <c r="K130" t="s">
        <v>44</v>
      </c>
    </row>
    <row r="131" spans="1:11" x14ac:dyDescent="0.25">
      <c r="A131" t="s">
        <v>191</v>
      </c>
      <c r="B131" s="9">
        <v>45826</v>
      </c>
      <c r="C131" t="s">
        <v>49</v>
      </c>
      <c r="D131" t="s">
        <v>17</v>
      </c>
      <c r="E131" t="s">
        <v>62</v>
      </c>
      <c r="F131" t="s">
        <v>13</v>
      </c>
      <c r="G131">
        <v>8</v>
      </c>
      <c r="H131" s="7">
        <v>1127.18</v>
      </c>
      <c r="I131" s="10">
        <v>0.15</v>
      </c>
      <c r="J131" s="7">
        <v>7664.82</v>
      </c>
      <c r="K131" t="s">
        <v>44</v>
      </c>
    </row>
    <row r="132" spans="1:11" x14ac:dyDescent="0.25">
      <c r="A132" t="s">
        <v>192</v>
      </c>
      <c r="B132" s="9">
        <v>45827</v>
      </c>
      <c r="C132" t="s">
        <v>84</v>
      </c>
      <c r="D132" t="s">
        <v>14</v>
      </c>
      <c r="E132" t="s">
        <v>70</v>
      </c>
      <c r="F132" t="s">
        <v>16</v>
      </c>
      <c r="G132">
        <v>3</v>
      </c>
      <c r="H132" s="7">
        <v>50026.07</v>
      </c>
      <c r="I132" s="10">
        <v>0.05</v>
      </c>
      <c r="J132" s="7">
        <v>142574.29999999999</v>
      </c>
      <c r="K132" t="s">
        <v>44</v>
      </c>
    </row>
    <row r="133" spans="1:11" x14ac:dyDescent="0.25">
      <c r="A133" t="s">
        <v>193</v>
      </c>
      <c r="B133" s="9">
        <v>45828</v>
      </c>
      <c r="C133" t="s">
        <v>49</v>
      </c>
      <c r="D133" t="s">
        <v>14</v>
      </c>
      <c r="E133" t="s">
        <v>68</v>
      </c>
      <c r="F133" t="s">
        <v>13</v>
      </c>
      <c r="G133">
        <v>5</v>
      </c>
      <c r="H133" s="7">
        <v>616.75</v>
      </c>
      <c r="I133" s="10">
        <v>0</v>
      </c>
      <c r="J133" s="7">
        <v>3083.75</v>
      </c>
      <c r="K133" t="s">
        <v>44</v>
      </c>
    </row>
    <row r="134" spans="1:11" x14ac:dyDescent="0.25">
      <c r="A134" t="s">
        <v>194</v>
      </c>
      <c r="B134" s="9">
        <v>45828</v>
      </c>
      <c r="C134" t="s">
        <v>54</v>
      </c>
      <c r="D134" t="s">
        <v>20</v>
      </c>
      <c r="E134" t="s">
        <v>52</v>
      </c>
      <c r="F134" t="s">
        <v>16</v>
      </c>
      <c r="G134">
        <v>5</v>
      </c>
      <c r="H134" s="7">
        <v>1710.49</v>
      </c>
      <c r="I134" s="10">
        <v>0</v>
      </c>
      <c r="J134" s="7">
        <v>8552.4500000000007</v>
      </c>
      <c r="K134" t="s">
        <v>44</v>
      </c>
    </row>
    <row r="135" spans="1:11" x14ac:dyDescent="0.25">
      <c r="A135" t="s">
        <v>195</v>
      </c>
      <c r="B135" s="9">
        <v>45828</v>
      </c>
      <c r="C135" t="s">
        <v>54</v>
      </c>
      <c r="D135" t="s">
        <v>14</v>
      </c>
      <c r="E135" t="s">
        <v>65</v>
      </c>
      <c r="F135" t="s">
        <v>19</v>
      </c>
      <c r="G135">
        <v>5</v>
      </c>
      <c r="H135" s="7">
        <v>10106.1</v>
      </c>
      <c r="I135" s="10">
        <v>0</v>
      </c>
      <c r="J135" s="7">
        <v>50530.5</v>
      </c>
      <c r="K135" t="s">
        <v>47</v>
      </c>
    </row>
    <row r="136" spans="1:11" x14ac:dyDescent="0.25">
      <c r="A136" t="s">
        <v>196</v>
      </c>
      <c r="B136" s="9">
        <v>45829</v>
      </c>
      <c r="C136" t="s">
        <v>59</v>
      </c>
      <c r="D136" t="s">
        <v>17</v>
      </c>
      <c r="E136" t="s">
        <v>62</v>
      </c>
      <c r="F136" t="s">
        <v>13</v>
      </c>
      <c r="G136">
        <v>3</v>
      </c>
      <c r="H136" s="7">
        <v>1154.53</v>
      </c>
      <c r="I136" s="10">
        <v>0.1</v>
      </c>
      <c r="J136" s="7">
        <v>3117.23</v>
      </c>
      <c r="K136" t="s">
        <v>50</v>
      </c>
    </row>
    <row r="137" spans="1:11" x14ac:dyDescent="0.25">
      <c r="A137" t="s">
        <v>197</v>
      </c>
      <c r="B137" s="9">
        <v>45830</v>
      </c>
      <c r="C137" t="s">
        <v>59</v>
      </c>
      <c r="D137" t="s">
        <v>23</v>
      </c>
      <c r="E137" t="s">
        <v>70</v>
      </c>
      <c r="F137" t="s">
        <v>16</v>
      </c>
      <c r="G137">
        <v>6</v>
      </c>
      <c r="H137" s="7">
        <v>55421.64</v>
      </c>
      <c r="I137" s="10">
        <v>0.1</v>
      </c>
      <c r="J137" s="7">
        <v>299276.86</v>
      </c>
      <c r="K137" t="s">
        <v>44</v>
      </c>
    </row>
    <row r="138" spans="1:11" x14ac:dyDescent="0.25">
      <c r="A138" t="s">
        <v>198</v>
      </c>
      <c r="B138" s="9">
        <v>45831</v>
      </c>
      <c r="C138" t="s">
        <v>49</v>
      </c>
      <c r="D138" t="s">
        <v>17</v>
      </c>
      <c r="E138" t="s">
        <v>43</v>
      </c>
      <c r="F138" t="s">
        <v>19</v>
      </c>
      <c r="G138">
        <v>6</v>
      </c>
      <c r="H138" s="7">
        <v>7484.1</v>
      </c>
      <c r="I138" s="10">
        <v>0</v>
      </c>
      <c r="J138" s="7">
        <v>44904.6</v>
      </c>
      <c r="K138" t="s">
        <v>47</v>
      </c>
    </row>
    <row r="139" spans="1:11" x14ac:dyDescent="0.25">
      <c r="A139" t="s">
        <v>199</v>
      </c>
      <c r="B139" s="9">
        <v>45831</v>
      </c>
      <c r="C139" t="s">
        <v>56</v>
      </c>
      <c r="D139" t="s">
        <v>14</v>
      </c>
      <c r="E139" t="s">
        <v>68</v>
      </c>
      <c r="F139" t="s">
        <v>13</v>
      </c>
      <c r="G139">
        <v>3</v>
      </c>
      <c r="H139" s="7">
        <v>645.74</v>
      </c>
      <c r="I139" s="10">
        <v>0.1</v>
      </c>
      <c r="J139" s="7">
        <v>1743.5</v>
      </c>
      <c r="K139" t="s">
        <v>47</v>
      </c>
    </row>
    <row r="140" spans="1:11" x14ac:dyDescent="0.25">
      <c r="A140" t="s">
        <v>200</v>
      </c>
      <c r="B140" s="9">
        <v>45831</v>
      </c>
      <c r="C140" t="s">
        <v>54</v>
      </c>
      <c r="D140" t="s">
        <v>23</v>
      </c>
      <c r="E140" t="s">
        <v>92</v>
      </c>
      <c r="F140" t="s">
        <v>22</v>
      </c>
      <c r="G140">
        <v>7</v>
      </c>
      <c r="H140" s="7">
        <v>86.58</v>
      </c>
      <c r="I140" s="10">
        <v>0.15</v>
      </c>
      <c r="J140" s="7">
        <v>515.15</v>
      </c>
      <c r="K140" t="s">
        <v>50</v>
      </c>
    </row>
    <row r="141" spans="1:11" x14ac:dyDescent="0.25">
      <c r="A141" t="s">
        <v>201</v>
      </c>
      <c r="B141" s="9">
        <v>45831</v>
      </c>
      <c r="C141" t="s">
        <v>49</v>
      </c>
      <c r="D141" t="s">
        <v>20</v>
      </c>
      <c r="E141" t="s">
        <v>52</v>
      </c>
      <c r="F141" t="s">
        <v>16</v>
      </c>
      <c r="G141">
        <v>1</v>
      </c>
      <c r="H141" s="7">
        <v>1916</v>
      </c>
      <c r="I141" s="10">
        <v>0.1</v>
      </c>
      <c r="J141" s="7">
        <v>1724.4</v>
      </c>
      <c r="K141" t="s">
        <v>44</v>
      </c>
    </row>
    <row r="142" spans="1:11" x14ac:dyDescent="0.25">
      <c r="A142" t="s">
        <v>202</v>
      </c>
      <c r="B142" s="9">
        <v>45831</v>
      </c>
      <c r="C142" t="s">
        <v>54</v>
      </c>
      <c r="D142" t="s">
        <v>20</v>
      </c>
      <c r="E142" t="s">
        <v>92</v>
      </c>
      <c r="F142" t="s">
        <v>22</v>
      </c>
      <c r="G142">
        <v>3</v>
      </c>
      <c r="H142" s="7">
        <v>85.88</v>
      </c>
      <c r="I142" s="10">
        <v>0</v>
      </c>
      <c r="J142" s="7">
        <v>257.64</v>
      </c>
      <c r="K142" t="s">
        <v>50</v>
      </c>
    </row>
    <row r="143" spans="1:11" x14ac:dyDescent="0.25">
      <c r="A143" t="s">
        <v>203</v>
      </c>
      <c r="B143" s="9">
        <v>45832</v>
      </c>
      <c r="C143" t="s">
        <v>72</v>
      </c>
      <c r="D143" t="s">
        <v>23</v>
      </c>
      <c r="E143" t="s">
        <v>92</v>
      </c>
      <c r="F143" t="s">
        <v>22</v>
      </c>
      <c r="G143">
        <v>5</v>
      </c>
      <c r="H143" s="7">
        <v>95.53</v>
      </c>
      <c r="I143" s="10">
        <v>0.05</v>
      </c>
      <c r="J143" s="7">
        <v>453.77</v>
      </c>
      <c r="K143" t="s">
        <v>47</v>
      </c>
    </row>
    <row r="144" spans="1:11" x14ac:dyDescent="0.25">
      <c r="A144" t="s">
        <v>204</v>
      </c>
      <c r="B144" s="9">
        <v>45832</v>
      </c>
      <c r="C144" t="s">
        <v>54</v>
      </c>
      <c r="D144" t="s">
        <v>17</v>
      </c>
      <c r="E144" t="s">
        <v>46</v>
      </c>
      <c r="F144" t="s">
        <v>13</v>
      </c>
      <c r="G144">
        <v>6</v>
      </c>
      <c r="H144" s="7">
        <v>544.87</v>
      </c>
      <c r="I144" s="10">
        <v>0.1</v>
      </c>
      <c r="J144" s="7">
        <v>2942.3</v>
      </c>
      <c r="K144" t="s">
        <v>50</v>
      </c>
    </row>
    <row r="145" spans="1:11" x14ac:dyDescent="0.25">
      <c r="A145" t="s">
        <v>205</v>
      </c>
      <c r="B145" s="9">
        <v>45833</v>
      </c>
      <c r="C145" t="s">
        <v>84</v>
      </c>
      <c r="D145" t="s">
        <v>23</v>
      </c>
      <c r="E145" t="s">
        <v>57</v>
      </c>
      <c r="F145" t="s">
        <v>16</v>
      </c>
      <c r="G145">
        <v>4</v>
      </c>
      <c r="H145" s="7">
        <v>12379.89</v>
      </c>
      <c r="I145" s="10">
        <v>0.15</v>
      </c>
      <c r="J145" s="7">
        <v>42091.63</v>
      </c>
      <c r="K145" t="s">
        <v>47</v>
      </c>
    </row>
    <row r="146" spans="1:11" x14ac:dyDescent="0.25">
      <c r="A146" t="s">
        <v>206</v>
      </c>
      <c r="B146" s="9">
        <v>45834</v>
      </c>
      <c r="C146" t="s">
        <v>56</v>
      </c>
      <c r="D146" t="s">
        <v>20</v>
      </c>
      <c r="E146" t="s">
        <v>92</v>
      </c>
      <c r="F146" t="s">
        <v>22</v>
      </c>
      <c r="G146">
        <v>2</v>
      </c>
      <c r="H146" s="7">
        <v>91.24</v>
      </c>
      <c r="I146" s="10">
        <v>0</v>
      </c>
      <c r="J146" s="7">
        <v>182.48</v>
      </c>
      <c r="K146" t="s">
        <v>50</v>
      </c>
    </row>
    <row r="147" spans="1:11" x14ac:dyDescent="0.25">
      <c r="A147" t="s">
        <v>207</v>
      </c>
      <c r="B147" s="9">
        <v>45836</v>
      </c>
      <c r="C147" t="s">
        <v>59</v>
      </c>
      <c r="D147" t="s">
        <v>17</v>
      </c>
      <c r="E147" t="s">
        <v>75</v>
      </c>
      <c r="F147" t="s">
        <v>22</v>
      </c>
      <c r="G147">
        <v>4</v>
      </c>
      <c r="H147" s="7">
        <v>151.12</v>
      </c>
      <c r="I147" s="10">
        <v>0.15</v>
      </c>
      <c r="J147" s="7">
        <v>513.80999999999995</v>
      </c>
      <c r="K147" t="s">
        <v>47</v>
      </c>
    </row>
    <row r="148" spans="1:11" x14ac:dyDescent="0.25">
      <c r="A148" t="s">
        <v>208</v>
      </c>
      <c r="B148" s="9">
        <v>45838</v>
      </c>
      <c r="C148" t="s">
        <v>42</v>
      </c>
      <c r="D148" t="s">
        <v>23</v>
      </c>
      <c r="E148" t="s">
        <v>43</v>
      </c>
      <c r="F148" t="s">
        <v>19</v>
      </c>
      <c r="G148">
        <v>8</v>
      </c>
      <c r="H148" s="7">
        <v>7687.62</v>
      </c>
      <c r="I148" s="10">
        <v>0.1</v>
      </c>
      <c r="J148" s="7">
        <v>55350.86</v>
      </c>
      <c r="K148" t="s">
        <v>44</v>
      </c>
    </row>
    <row r="149" spans="1:11" x14ac:dyDescent="0.25">
      <c r="A149" t="s">
        <v>209</v>
      </c>
      <c r="B149" s="9">
        <v>45838</v>
      </c>
      <c r="C149" t="s">
        <v>59</v>
      </c>
      <c r="D149" t="s">
        <v>14</v>
      </c>
      <c r="E149" t="s">
        <v>43</v>
      </c>
      <c r="F149" t="s">
        <v>19</v>
      </c>
      <c r="G149">
        <v>8</v>
      </c>
      <c r="H149" s="7">
        <v>7309.38</v>
      </c>
      <c r="I149" s="10">
        <v>0.15</v>
      </c>
      <c r="J149" s="7">
        <v>49703.78</v>
      </c>
      <c r="K149" t="s">
        <v>47</v>
      </c>
    </row>
    <row r="150" spans="1:11" x14ac:dyDescent="0.25">
      <c r="A150" t="s">
        <v>210</v>
      </c>
      <c r="B150" s="9">
        <v>45841</v>
      </c>
      <c r="C150" t="s">
        <v>84</v>
      </c>
      <c r="D150" t="s">
        <v>23</v>
      </c>
      <c r="E150" t="s">
        <v>70</v>
      </c>
      <c r="F150" t="s">
        <v>16</v>
      </c>
      <c r="G150">
        <v>8</v>
      </c>
      <c r="H150" s="7">
        <v>50330.89</v>
      </c>
      <c r="I150" s="10">
        <v>0.1</v>
      </c>
      <c r="J150" s="7">
        <v>362382.41</v>
      </c>
      <c r="K150" t="s">
        <v>47</v>
      </c>
    </row>
    <row r="151" spans="1:11" x14ac:dyDescent="0.25">
      <c r="A151" t="s">
        <v>211</v>
      </c>
      <c r="B151" s="9">
        <v>45842</v>
      </c>
      <c r="C151" t="s">
        <v>84</v>
      </c>
      <c r="D151" t="s">
        <v>20</v>
      </c>
      <c r="E151" t="s">
        <v>70</v>
      </c>
      <c r="F151" t="s">
        <v>16</v>
      </c>
      <c r="G151">
        <v>8</v>
      </c>
      <c r="H151" s="7">
        <v>55216.58</v>
      </c>
      <c r="I151" s="10">
        <v>0.15</v>
      </c>
      <c r="J151" s="7">
        <v>375472.74</v>
      </c>
      <c r="K151" t="s">
        <v>50</v>
      </c>
    </row>
    <row r="152" spans="1:11" x14ac:dyDescent="0.25">
      <c r="A152" t="s">
        <v>212</v>
      </c>
      <c r="B152" s="9">
        <v>45845</v>
      </c>
      <c r="C152" t="s">
        <v>56</v>
      </c>
      <c r="D152" t="s">
        <v>20</v>
      </c>
      <c r="E152" t="s">
        <v>57</v>
      </c>
      <c r="F152" t="s">
        <v>16</v>
      </c>
      <c r="G152">
        <v>1</v>
      </c>
      <c r="H152" s="7">
        <v>12347.3</v>
      </c>
      <c r="I152" s="10">
        <v>0.1</v>
      </c>
      <c r="J152" s="7">
        <v>11112.57</v>
      </c>
      <c r="K152" t="s">
        <v>44</v>
      </c>
    </row>
    <row r="153" spans="1:11" x14ac:dyDescent="0.25">
      <c r="A153" t="s">
        <v>213</v>
      </c>
      <c r="B153" s="9">
        <v>45846</v>
      </c>
      <c r="C153" t="s">
        <v>56</v>
      </c>
      <c r="D153" t="s">
        <v>23</v>
      </c>
      <c r="E153" t="s">
        <v>62</v>
      </c>
      <c r="F153" t="s">
        <v>13</v>
      </c>
      <c r="G153">
        <v>2</v>
      </c>
      <c r="H153" s="7">
        <v>1191.17</v>
      </c>
      <c r="I153" s="10">
        <v>0</v>
      </c>
      <c r="J153" s="7">
        <v>2382.34</v>
      </c>
      <c r="K153" t="s">
        <v>47</v>
      </c>
    </row>
    <row r="154" spans="1:11" x14ac:dyDescent="0.25">
      <c r="A154" t="s">
        <v>214</v>
      </c>
      <c r="B154" s="9">
        <v>45847</v>
      </c>
      <c r="C154" t="s">
        <v>54</v>
      </c>
      <c r="D154" t="s">
        <v>17</v>
      </c>
      <c r="E154" t="s">
        <v>92</v>
      </c>
      <c r="F154" t="s">
        <v>22</v>
      </c>
      <c r="G154">
        <v>3</v>
      </c>
      <c r="H154" s="7">
        <v>87.37</v>
      </c>
      <c r="I154" s="10">
        <v>0.15</v>
      </c>
      <c r="J154" s="7">
        <v>222.79</v>
      </c>
      <c r="K154" t="s">
        <v>47</v>
      </c>
    </row>
    <row r="155" spans="1:11" x14ac:dyDescent="0.25">
      <c r="A155" t="s">
        <v>215</v>
      </c>
      <c r="B155" s="9">
        <v>45849</v>
      </c>
      <c r="C155" t="s">
        <v>72</v>
      </c>
      <c r="D155" t="s">
        <v>14</v>
      </c>
      <c r="E155" t="s">
        <v>52</v>
      </c>
      <c r="F155" t="s">
        <v>16</v>
      </c>
      <c r="G155">
        <v>4</v>
      </c>
      <c r="H155" s="7">
        <v>1821.96</v>
      </c>
      <c r="I155" s="10">
        <v>0.15</v>
      </c>
      <c r="J155" s="7">
        <v>6194.66</v>
      </c>
      <c r="K155" t="s">
        <v>47</v>
      </c>
    </row>
    <row r="156" spans="1:11" x14ac:dyDescent="0.25">
      <c r="A156" t="s">
        <v>216</v>
      </c>
      <c r="B156" s="9">
        <v>45850</v>
      </c>
      <c r="C156" t="s">
        <v>42</v>
      </c>
      <c r="D156" t="s">
        <v>14</v>
      </c>
      <c r="E156" t="s">
        <v>70</v>
      </c>
      <c r="F156" t="s">
        <v>16</v>
      </c>
      <c r="G156">
        <v>6</v>
      </c>
      <c r="H156" s="7">
        <v>50589.72</v>
      </c>
      <c r="I156" s="10">
        <v>0.1</v>
      </c>
      <c r="J156" s="7">
        <v>273184.49</v>
      </c>
      <c r="K156" t="s">
        <v>50</v>
      </c>
    </row>
    <row r="157" spans="1:11" x14ac:dyDescent="0.25">
      <c r="A157" t="s">
        <v>217</v>
      </c>
      <c r="B157" s="9">
        <v>45854</v>
      </c>
      <c r="C157" t="s">
        <v>81</v>
      </c>
      <c r="D157" t="s">
        <v>23</v>
      </c>
      <c r="E157" t="s">
        <v>62</v>
      </c>
      <c r="F157" t="s">
        <v>13</v>
      </c>
      <c r="G157">
        <v>6</v>
      </c>
      <c r="H157" s="7">
        <v>1224.1500000000001</v>
      </c>
      <c r="I157" s="10">
        <v>0.15</v>
      </c>
      <c r="J157" s="7">
        <v>6243.16</v>
      </c>
      <c r="K157" t="s">
        <v>44</v>
      </c>
    </row>
    <row r="158" spans="1:11" x14ac:dyDescent="0.25">
      <c r="A158" t="s">
        <v>218</v>
      </c>
      <c r="B158" s="9">
        <v>45854</v>
      </c>
      <c r="C158" t="s">
        <v>42</v>
      </c>
      <c r="D158" t="s">
        <v>20</v>
      </c>
      <c r="E158" t="s">
        <v>46</v>
      </c>
      <c r="F158" t="s">
        <v>13</v>
      </c>
      <c r="G158">
        <v>3</v>
      </c>
      <c r="H158" s="7">
        <v>558.19000000000005</v>
      </c>
      <c r="I158" s="10">
        <v>0</v>
      </c>
      <c r="J158" s="7">
        <v>1674.57</v>
      </c>
      <c r="K158" t="s">
        <v>44</v>
      </c>
    </row>
    <row r="159" spans="1:11" x14ac:dyDescent="0.25">
      <c r="A159" t="s">
        <v>219</v>
      </c>
      <c r="B159" s="9">
        <v>45854</v>
      </c>
      <c r="C159" t="s">
        <v>84</v>
      </c>
      <c r="D159" t="s">
        <v>20</v>
      </c>
      <c r="E159" t="s">
        <v>46</v>
      </c>
      <c r="F159" t="s">
        <v>13</v>
      </c>
      <c r="G159">
        <v>5</v>
      </c>
      <c r="H159" s="7">
        <v>589.61</v>
      </c>
      <c r="I159" s="10">
        <v>0</v>
      </c>
      <c r="J159" s="7">
        <v>2948.05</v>
      </c>
      <c r="K159" t="s">
        <v>44</v>
      </c>
    </row>
    <row r="160" spans="1:11" x14ac:dyDescent="0.25">
      <c r="A160" t="s">
        <v>220</v>
      </c>
      <c r="B160" s="9">
        <v>45855</v>
      </c>
      <c r="C160" t="s">
        <v>56</v>
      </c>
      <c r="D160" t="s">
        <v>23</v>
      </c>
      <c r="E160" t="s">
        <v>57</v>
      </c>
      <c r="F160" t="s">
        <v>16</v>
      </c>
      <c r="G160">
        <v>5</v>
      </c>
      <c r="H160" s="7">
        <v>12477.77</v>
      </c>
      <c r="I160" s="10">
        <v>0.1</v>
      </c>
      <c r="J160" s="7">
        <v>56149.97</v>
      </c>
      <c r="K160" t="s">
        <v>44</v>
      </c>
    </row>
    <row r="161" spans="1:11" x14ac:dyDescent="0.25">
      <c r="A161" t="s">
        <v>221</v>
      </c>
      <c r="B161" s="9">
        <v>45858</v>
      </c>
      <c r="C161" t="s">
        <v>42</v>
      </c>
      <c r="D161" t="s">
        <v>14</v>
      </c>
      <c r="E161" t="s">
        <v>92</v>
      </c>
      <c r="F161" t="s">
        <v>22</v>
      </c>
      <c r="G161">
        <v>7</v>
      </c>
      <c r="H161" s="7">
        <v>82.88</v>
      </c>
      <c r="I161" s="10">
        <v>0</v>
      </c>
      <c r="J161" s="7">
        <v>580.16</v>
      </c>
      <c r="K161" t="s">
        <v>50</v>
      </c>
    </row>
    <row r="162" spans="1:11" x14ac:dyDescent="0.25">
      <c r="A162" t="s">
        <v>222</v>
      </c>
      <c r="B162" s="9">
        <v>45860</v>
      </c>
      <c r="C162" t="s">
        <v>54</v>
      </c>
      <c r="D162" t="s">
        <v>23</v>
      </c>
      <c r="E162" t="s">
        <v>52</v>
      </c>
      <c r="F162" t="s">
        <v>16</v>
      </c>
      <c r="G162">
        <v>5</v>
      </c>
      <c r="H162" s="7">
        <v>1789.16</v>
      </c>
      <c r="I162" s="10">
        <v>0</v>
      </c>
      <c r="J162" s="7">
        <v>8945.7999999999993</v>
      </c>
      <c r="K162" t="s">
        <v>47</v>
      </c>
    </row>
    <row r="163" spans="1:11" x14ac:dyDescent="0.25">
      <c r="A163" t="s">
        <v>223</v>
      </c>
      <c r="B163" s="9">
        <v>45861</v>
      </c>
      <c r="C163" t="s">
        <v>59</v>
      </c>
      <c r="D163" t="s">
        <v>17</v>
      </c>
      <c r="E163" t="s">
        <v>43</v>
      </c>
      <c r="F163" t="s">
        <v>19</v>
      </c>
      <c r="G163">
        <v>5</v>
      </c>
      <c r="H163" s="7">
        <v>8349.6</v>
      </c>
      <c r="I163" s="10">
        <v>0</v>
      </c>
      <c r="J163" s="7">
        <v>41748</v>
      </c>
      <c r="K163" t="s">
        <v>50</v>
      </c>
    </row>
    <row r="164" spans="1:11" x14ac:dyDescent="0.25">
      <c r="A164" t="s">
        <v>224</v>
      </c>
      <c r="B164" s="9">
        <v>45863</v>
      </c>
      <c r="C164" t="s">
        <v>59</v>
      </c>
      <c r="D164" t="s">
        <v>14</v>
      </c>
      <c r="E164" t="s">
        <v>75</v>
      </c>
      <c r="F164" t="s">
        <v>22</v>
      </c>
      <c r="G164">
        <v>2</v>
      </c>
      <c r="H164" s="7">
        <v>151.86000000000001</v>
      </c>
      <c r="I164" s="10">
        <v>0</v>
      </c>
      <c r="J164" s="7">
        <v>303.72000000000003</v>
      </c>
      <c r="K164" t="s">
        <v>50</v>
      </c>
    </row>
    <row r="165" spans="1:11" x14ac:dyDescent="0.25">
      <c r="A165" t="s">
        <v>225</v>
      </c>
      <c r="B165" s="9">
        <v>45863</v>
      </c>
      <c r="C165" t="s">
        <v>59</v>
      </c>
      <c r="D165" t="s">
        <v>20</v>
      </c>
      <c r="E165" t="s">
        <v>92</v>
      </c>
      <c r="F165" t="s">
        <v>22</v>
      </c>
      <c r="G165">
        <v>1</v>
      </c>
      <c r="H165" s="7">
        <v>94.26</v>
      </c>
      <c r="I165" s="10">
        <v>0.15</v>
      </c>
      <c r="J165" s="7">
        <v>80.12</v>
      </c>
      <c r="K165" t="s">
        <v>44</v>
      </c>
    </row>
    <row r="166" spans="1:11" x14ac:dyDescent="0.25">
      <c r="A166" t="s">
        <v>226</v>
      </c>
      <c r="B166" s="9">
        <v>45866</v>
      </c>
      <c r="C166" t="s">
        <v>49</v>
      </c>
      <c r="D166" t="s">
        <v>14</v>
      </c>
      <c r="E166" t="s">
        <v>65</v>
      </c>
      <c r="F166" t="s">
        <v>19</v>
      </c>
      <c r="G166">
        <v>5</v>
      </c>
      <c r="H166" s="7">
        <v>8906.7000000000007</v>
      </c>
      <c r="I166" s="10">
        <v>0.1</v>
      </c>
      <c r="J166" s="7">
        <v>40080.15</v>
      </c>
      <c r="K166" t="s">
        <v>50</v>
      </c>
    </row>
    <row r="167" spans="1:11" x14ac:dyDescent="0.25">
      <c r="A167" t="s">
        <v>227</v>
      </c>
      <c r="B167" s="9">
        <v>45870</v>
      </c>
      <c r="C167" t="s">
        <v>42</v>
      </c>
      <c r="D167" t="s">
        <v>14</v>
      </c>
      <c r="E167" t="s">
        <v>52</v>
      </c>
      <c r="F167" t="s">
        <v>16</v>
      </c>
      <c r="G167">
        <v>1</v>
      </c>
      <c r="H167" s="7">
        <v>1869.02</v>
      </c>
      <c r="I167" s="10">
        <v>0.05</v>
      </c>
      <c r="J167" s="7">
        <v>1775.57</v>
      </c>
      <c r="K167" t="s">
        <v>44</v>
      </c>
    </row>
    <row r="168" spans="1:11" x14ac:dyDescent="0.25">
      <c r="A168" t="s">
        <v>228</v>
      </c>
      <c r="B168" s="9">
        <v>45870</v>
      </c>
      <c r="C168" t="s">
        <v>84</v>
      </c>
      <c r="D168" t="s">
        <v>20</v>
      </c>
      <c r="E168" t="s">
        <v>62</v>
      </c>
      <c r="F168" t="s">
        <v>13</v>
      </c>
      <c r="G168">
        <v>6</v>
      </c>
      <c r="H168" s="7">
        <v>1129.3699999999999</v>
      </c>
      <c r="I168" s="10">
        <v>0</v>
      </c>
      <c r="J168" s="7">
        <v>6776.22</v>
      </c>
      <c r="K168" t="s">
        <v>44</v>
      </c>
    </row>
    <row r="169" spans="1:11" x14ac:dyDescent="0.25">
      <c r="A169" t="s">
        <v>229</v>
      </c>
      <c r="B169" s="9">
        <v>45872</v>
      </c>
      <c r="C169" t="s">
        <v>81</v>
      </c>
      <c r="D169" t="s">
        <v>17</v>
      </c>
      <c r="E169" t="s">
        <v>43</v>
      </c>
      <c r="F169" t="s">
        <v>19</v>
      </c>
      <c r="G169">
        <v>5</v>
      </c>
      <c r="H169" s="7">
        <v>7724.54</v>
      </c>
      <c r="I169" s="10">
        <v>0.1</v>
      </c>
      <c r="J169" s="7">
        <v>34760.43</v>
      </c>
      <c r="K169" t="s">
        <v>50</v>
      </c>
    </row>
    <row r="170" spans="1:11" x14ac:dyDescent="0.25">
      <c r="A170" t="s">
        <v>230</v>
      </c>
      <c r="B170" s="9">
        <v>45872</v>
      </c>
      <c r="C170" t="s">
        <v>54</v>
      </c>
      <c r="D170" t="s">
        <v>23</v>
      </c>
      <c r="E170" t="s">
        <v>75</v>
      </c>
      <c r="F170" t="s">
        <v>22</v>
      </c>
      <c r="G170">
        <v>6</v>
      </c>
      <c r="H170" s="7">
        <v>156.32</v>
      </c>
      <c r="I170" s="10">
        <v>0</v>
      </c>
      <c r="J170" s="7">
        <v>937.92</v>
      </c>
      <c r="K170" t="s">
        <v>47</v>
      </c>
    </row>
    <row r="171" spans="1:11" x14ac:dyDescent="0.25">
      <c r="A171" t="s">
        <v>231</v>
      </c>
      <c r="B171" s="9">
        <v>45872</v>
      </c>
      <c r="C171" t="s">
        <v>42</v>
      </c>
      <c r="D171" t="s">
        <v>14</v>
      </c>
      <c r="E171" t="s">
        <v>68</v>
      </c>
      <c r="F171" t="s">
        <v>13</v>
      </c>
      <c r="G171">
        <v>5</v>
      </c>
      <c r="H171" s="7">
        <v>635.11</v>
      </c>
      <c r="I171" s="10">
        <v>0</v>
      </c>
      <c r="J171" s="7">
        <v>3175.55</v>
      </c>
      <c r="K171" t="s">
        <v>47</v>
      </c>
    </row>
    <row r="172" spans="1:11" x14ac:dyDescent="0.25">
      <c r="A172" t="s">
        <v>232</v>
      </c>
      <c r="B172" s="9">
        <v>45872</v>
      </c>
      <c r="C172" t="s">
        <v>49</v>
      </c>
      <c r="D172" t="s">
        <v>20</v>
      </c>
      <c r="E172" t="s">
        <v>68</v>
      </c>
      <c r="F172" t="s">
        <v>13</v>
      </c>
      <c r="G172">
        <v>5</v>
      </c>
      <c r="H172" s="7">
        <v>690.67</v>
      </c>
      <c r="I172" s="10">
        <v>0.15</v>
      </c>
      <c r="J172" s="7">
        <v>2935.35</v>
      </c>
      <c r="K172" t="s">
        <v>44</v>
      </c>
    </row>
    <row r="173" spans="1:11" x14ac:dyDescent="0.25">
      <c r="A173" t="s">
        <v>233</v>
      </c>
      <c r="B173" s="9">
        <v>45872</v>
      </c>
      <c r="C173" t="s">
        <v>49</v>
      </c>
      <c r="D173" t="s">
        <v>20</v>
      </c>
      <c r="E173" t="s">
        <v>75</v>
      </c>
      <c r="F173" t="s">
        <v>22</v>
      </c>
      <c r="G173">
        <v>4</v>
      </c>
      <c r="H173" s="7">
        <v>151.57</v>
      </c>
      <c r="I173" s="10">
        <v>0.1</v>
      </c>
      <c r="J173" s="7">
        <v>545.65</v>
      </c>
      <c r="K173" t="s">
        <v>47</v>
      </c>
    </row>
    <row r="174" spans="1:11" x14ac:dyDescent="0.25">
      <c r="A174" t="s">
        <v>234</v>
      </c>
      <c r="B174" s="9">
        <v>45873</v>
      </c>
      <c r="C174" t="s">
        <v>56</v>
      </c>
      <c r="D174" t="s">
        <v>20</v>
      </c>
      <c r="E174" t="s">
        <v>92</v>
      </c>
      <c r="F174" t="s">
        <v>22</v>
      </c>
      <c r="G174">
        <v>8</v>
      </c>
      <c r="H174" s="7">
        <v>87.45</v>
      </c>
      <c r="I174" s="10">
        <v>0</v>
      </c>
      <c r="J174" s="7">
        <v>699.6</v>
      </c>
      <c r="K174" t="s">
        <v>50</v>
      </c>
    </row>
    <row r="175" spans="1:11" x14ac:dyDescent="0.25">
      <c r="A175" t="s">
        <v>235</v>
      </c>
      <c r="B175" s="9">
        <v>45873</v>
      </c>
      <c r="C175" t="s">
        <v>42</v>
      </c>
      <c r="D175" t="s">
        <v>14</v>
      </c>
      <c r="E175" t="s">
        <v>70</v>
      </c>
      <c r="F175" t="s">
        <v>16</v>
      </c>
      <c r="G175">
        <v>7</v>
      </c>
      <c r="H175" s="7">
        <v>48824.97</v>
      </c>
      <c r="I175" s="10">
        <v>0.15</v>
      </c>
      <c r="J175" s="7">
        <v>290508.57</v>
      </c>
      <c r="K175" t="s">
        <v>44</v>
      </c>
    </row>
    <row r="176" spans="1:11" x14ac:dyDescent="0.25">
      <c r="A176" t="s">
        <v>236</v>
      </c>
      <c r="B176" s="9">
        <v>45874</v>
      </c>
      <c r="C176" t="s">
        <v>42</v>
      </c>
      <c r="D176" t="s">
        <v>23</v>
      </c>
      <c r="E176" t="s">
        <v>43</v>
      </c>
      <c r="F176" t="s">
        <v>19</v>
      </c>
      <c r="G176">
        <v>2</v>
      </c>
      <c r="H176" s="7">
        <v>7459.13</v>
      </c>
      <c r="I176" s="10">
        <v>0.05</v>
      </c>
      <c r="J176" s="7">
        <v>14172.35</v>
      </c>
      <c r="K176" t="s">
        <v>50</v>
      </c>
    </row>
    <row r="177" spans="1:11" x14ac:dyDescent="0.25">
      <c r="A177" t="s">
        <v>237</v>
      </c>
      <c r="B177" s="9">
        <v>45875</v>
      </c>
      <c r="C177" t="s">
        <v>42</v>
      </c>
      <c r="D177" t="s">
        <v>23</v>
      </c>
      <c r="E177" t="s">
        <v>75</v>
      </c>
      <c r="F177" t="s">
        <v>22</v>
      </c>
      <c r="G177">
        <v>3</v>
      </c>
      <c r="H177" s="7">
        <v>154.52000000000001</v>
      </c>
      <c r="I177" s="10">
        <v>0.15</v>
      </c>
      <c r="J177" s="7">
        <v>394.03</v>
      </c>
      <c r="K177" t="s">
        <v>47</v>
      </c>
    </row>
    <row r="178" spans="1:11" x14ac:dyDescent="0.25">
      <c r="A178" t="s">
        <v>238</v>
      </c>
      <c r="B178" s="9">
        <v>45877</v>
      </c>
      <c r="C178" t="s">
        <v>56</v>
      </c>
      <c r="D178" t="s">
        <v>17</v>
      </c>
      <c r="E178" t="s">
        <v>46</v>
      </c>
      <c r="F178" t="s">
        <v>13</v>
      </c>
      <c r="G178">
        <v>4</v>
      </c>
      <c r="H178" s="7">
        <v>522.9</v>
      </c>
      <c r="I178" s="10">
        <v>0</v>
      </c>
      <c r="J178" s="7">
        <v>2091.6</v>
      </c>
      <c r="K178" t="s">
        <v>50</v>
      </c>
    </row>
    <row r="179" spans="1:11" x14ac:dyDescent="0.25">
      <c r="A179" t="s">
        <v>239</v>
      </c>
      <c r="B179" s="9">
        <v>45877</v>
      </c>
      <c r="C179" t="s">
        <v>49</v>
      </c>
      <c r="D179" t="s">
        <v>23</v>
      </c>
      <c r="E179" t="s">
        <v>62</v>
      </c>
      <c r="F179" t="s">
        <v>13</v>
      </c>
      <c r="G179">
        <v>3</v>
      </c>
      <c r="H179" s="7">
        <v>1265.49</v>
      </c>
      <c r="I179" s="10">
        <v>0</v>
      </c>
      <c r="J179" s="7">
        <v>3796.47</v>
      </c>
      <c r="K179" t="s">
        <v>44</v>
      </c>
    </row>
    <row r="180" spans="1:11" x14ac:dyDescent="0.25">
      <c r="A180" t="s">
        <v>240</v>
      </c>
      <c r="B180" s="9">
        <v>45878</v>
      </c>
      <c r="C180" t="s">
        <v>42</v>
      </c>
      <c r="D180" t="s">
        <v>20</v>
      </c>
      <c r="E180" t="s">
        <v>92</v>
      </c>
      <c r="F180" t="s">
        <v>22</v>
      </c>
      <c r="G180">
        <v>7</v>
      </c>
      <c r="H180" s="7">
        <v>91.31</v>
      </c>
      <c r="I180" s="10">
        <v>0</v>
      </c>
      <c r="J180" s="7">
        <v>639.16999999999996</v>
      </c>
      <c r="K180" t="s">
        <v>44</v>
      </c>
    </row>
    <row r="181" spans="1:11" x14ac:dyDescent="0.25">
      <c r="A181" t="s">
        <v>241</v>
      </c>
      <c r="B181" s="9">
        <v>45878</v>
      </c>
      <c r="C181" t="s">
        <v>84</v>
      </c>
      <c r="D181" t="s">
        <v>17</v>
      </c>
      <c r="E181" t="s">
        <v>75</v>
      </c>
      <c r="F181" t="s">
        <v>22</v>
      </c>
      <c r="G181">
        <v>4</v>
      </c>
      <c r="H181" s="7">
        <v>150.26</v>
      </c>
      <c r="I181" s="10">
        <v>0.15</v>
      </c>
      <c r="J181" s="7">
        <v>510.88</v>
      </c>
      <c r="K181" t="s">
        <v>50</v>
      </c>
    </row>
    <row r="182" spans="1:11" x14ac:dyDescent="0.25">
      <c r="A182" t="s">
        <v>242</v>
      </c>
      <c r="B182" s="9">
        <v>45879</v>
      </c>
      <c r="C182" t="s">
        <v>81</v>
      </c>
      <c r="D182" t="s">
        <v>17</v>
      </c>
      <c r="E182" t="s">
        <v>68</v>
      </c>
      <c r="F182" t="s">
        <v>13</v>
      </c>
      <c r="G182">
        <v>4</v>
      </c>
      <c r="H182" s="7">
        <v>667.24</v>
      </c>
      <c r="I182" s="10">
        <v>0.1</v>
      </c>
      <c r="J182" s="7">
        <v>2402.06</v>
      </c>
      <c r="K182" t="s">
        <v>47</v>
      </c>
    </row>
    <row r="183" spans="1:11" x14ac:dyDescent="0.25">
      <c r="A183" t="s">
        <v>243</v>
      </c>
      <c r="B183" s="9">
        <v>45880</v>
      </c>
      <c r="C183" t="s">
        <v>72</v>
      </c>
      <c r="D183" t="s">
        <v>14</v>
      </c>
      <c r="E183" t="s">
        <v>68</v>
      </c>
      <c r="F183" t="s">
        <v>13</v>
      </c>
      <c r="G183">
        <v>4</v>
      </c>
      <c r="H183" s="7">
        <v>654.23</v>
      </c>
      <c r="I183" s="10">
        <v>0.15</v>
      </c>
      <c r="J183" s="7">
        <v>2224.38</v>
      </c>
      <c r="K183" t="s">
        <v>44</v>
      </c>
    </row>
    <row r="184" spans="1:11" x14ac:dyDescent="0.25">
      <c r="A184" t="s">
        <v>244</v>
      </c>
      <c r="B184" s="9">
        <v>45880</v>
      </c>
      <c r="C184" t="s">
        <v>81</v>
      </c>
      <c r="D184" t="s">
        <v>20</v>
      </c>
      <c r="E184" t="s">
        <v>52</v>
      </c>
      <c r="F184" t="s">
        <v>16</v>
      </c>
      <c r="G184">
        <v>8</v>
      </c>
      <c r="H184" s="7">
        <v>1924.2</v>
      </c>
      <c r="I184" s="10">
        <v>0</v>
      </c>
      <c r="J184" s="7">
        <v>15393.6</v>
      </c>
      <c r="K184" t="s">
        <v>50</v>
      </c>
    </row>
    <row r="185" spans="1:11" x14ac:dyDescent="0.25">
      <c r="A185" t="s">
        <v>245</v>
      </c>
      <c r="B185" s="9">
        <v>45880</v>
      </c>
      <c r="C185" t="s">
        <v>72</v>
      </c>
      <c r="D185" t="s">
        <v>23</v>
      </c>
      <c r="E185" t="s">
        <v>92</v>
      </c>
      <c r="F185" t="s">
        <v>22</v>
      </c>
      <c r="G185">
        <v>8</v>
      </c>
      <c r="H185" s="7">
        <v>92.95</v>
      </c>
      <c r="I185" s="10">
        <v>0</v>
      </c>
      <c r="J185" s="7">
        <v>743.6</v>
      </c>
      <c r="K185" t="s">
        <v>47</v>
      </c>
    </row>
    <row r="186" spans="1:11" x14ac:dyDescent="0.25">
      <c r="A186" t="s">
        <v>246</v>
      </c>
      <c r="B186" s="9">
        <v>45881</v>
      </c>
      <c r="C186" t="s">
        <v>56</v>
      </c>
      <c r="D186" t="s">
        <v>20</v>
      </c>
      <c r="E186" t="s">
        <v>65</v>
      </c>
      <c r="F186" t="s">
        <v>19</v>
      </c>
      <c r="G186">
        <v>8</v>
      </c>
      <c r="H186" s="7">
        <v>9642.08</v>
      </c>
      <c r="I186" s="10">
        <v>0.05</v>
      </c>
      <c r="J186" s="7">
        <v>73279.81</v>
      </c>
      <c r="K186" t="s">
        <v>50</v>
      </c>
    </row>
    <row r="187" spans="1:11" x14ac:dyDescent="0.25">
      <c r="A187" t="s">
        <v>247</v>
      </c>
      <c r="B187" s="9">
        <v>45881</v>
      </c>
      <c r="C187" t="s">
        <v>72</v>
      </c>
      <c r="D187" t="s">
        <v>20</v>
      </c>
      <c r="E187" t="s">
        <v>43</v>
      </c>
      <c r="F187" t="s">
        <v>19</v>
      </c>
      <c r="G187">
        <v>2</v>
      </c>
      <c r="H187" s="7">
        <v>7282.21</v>
      </c>
      <c r="I187" s="10">
        <v>0</v>
      </c>
      <c r="J187" s="7">
        <v>14564.42</v>
      </c>
      <c r="K187" t="s">
        <v>50</v>
      </c>
    </row>
    <row r="188" spans="1:11" x14ac:dyDescent="0.25">
      <c r="A188" t="s">
        <v>248</v>
      </c>
      <c r="B188" s="9">
        <v>45882</v>
      </c>
      <c r="C188" t="s">
        <v>49</v>
      </c>
      <c r="D188" t="s">
        <v>17</v>
      </c>
      <c r="E188" t="s">
        <v>62</v>
      </c>
      <c r="F188" t="s">
        <v>13</v>
      </c>
      <c r="G188">
        <v>3</v>
      </c>
      <c r="H188" s="7">
        <v>1242.8900000000001</v>
      </c>
      <c r="I188" s="10">
        <v>0.15</v>
      </c>
      <c r="J188" s="7">
        <v>3169.37</v>
      </c>
      <c r="K188" t="s">
        <v>44</v>
      </c>
    </row>
    <row r="189" spans="1:11" x14ac:dyDescent="0.25">
      <c r="A189" t="s">
        <v>249</v>
      </c>
      <c r="B189" s="9">
        <v>45883</v>
      </c>
      <c r="C189" t="s">
        <v>81</v>
      </c>
      <c r="D189" t="s">
        <v>23</v>
      </c>
      <c r="E189" t="s">
        <v>75</v>
      </c>
      <c r="F189" t="s">
        <v>22</v>
      </c>
      <c r="G189">
        <v>5</v>
      </c>
      <c r="H189" s="7">
        <v>149.37</v>
      </c>
      <c r="I189" s="10">
        <v>0.1</v>
      </c>
      <c r="J189" s="7">
        <v>672.17</v>
      </c>
      <c r="K189" t="s">
        <v>50</v>
      </c>
    </row>
    <row r="190" spans="1:11" x14ac:dyDescent="0.25">
      <c r="A190" t="s">
        <v>250</v>
      </c>
      <c r="B190" s="9">
        <v>45883</v>
      </c>
      <c r="C190" t="s">
        <v>59</v>
      </c>
      <c r="D190" t="s">
        <v>14</v>
      </c>
      <c r="E190" t="s">
        <v>65</v>
      </c>
      <c r="F190" t="s">
        <v>19</v>
      </c>
      <c r="G190">
        <v>4</v>
      </c>
      <c r="H190" s="7">
        <v>10199.459999999999</v>
      </c>
      <c r="I190" s="10">
        <v>0</v>
      </c>
      <c r="J190" s="7">
        <v>40797.839999999997</v>
      </c>
      <c r="K190" t="s">
        <v>44</v>
      </c>
    </row>
    <row r="191" spans="1:11" x14ac:dyDescent="0.25">
      <c r="A191" t="s">
        <v>251</v>
      </c>
      <c r="B191" s="9">
        <v>45884</v>
      </c>
      <c r="C191" t="s">
        <v>72</v>
      </c>
      <c r="D191" t="s">
        <v>14</v>
      </c>
      <c r="E191" t="s">
        <v>92</v>
      </c>
      <c r="F191" t="s">
        <v>22</v>
      </c>
      <c r="G191">
        <v>7</v>
      </c>
      <c r="H191" s="7">
        <v>94.29</v>
      </c>
      <c r="I191" s="10">
        <v>0.05</v>
      </c>
      <c r="J191" s="7">
        <v>627.03</v>
      </c>
      <c r="K191" t="s">
        <v>47</v>
      </c>
    </row>
    <row r="192" spans="1:11" x14ac:dyDescent="0.25">
      <c r="A192" t="s">
        <v>252</v>
      </c>
      <c r="B192" s="9">
        <v>45886</v>
      </c>
      <c r="C192" t="s">
        <v>84</v>
      </c>
      <c r="D192" t="s">
        <v>23</v>
      </c>
      <c r="E192" t="s">
        <v>70</v>
      </c>
      <c r="F192" t="s">
        <v>16</v>
      </c>
      <c r="G192">
        <v>6</v>
      </c>
      <c r="H192" s="7">
        <v>48406.31</v>
      </c>
      <c r="I192" s="10">
        <v>0.15</v>
      </c>
      <c r="J192" s="7">
        <v>246872.18</v>
      </c>
      <c r="K192" t="s">
        <v>44</v>
      </c>
    </row>
    <row r="193" spans="1:11" x14ac:dyDescent="0.25">
      <c r="A193" t="s">
        <v>253</v>
      </c>
      <c r="B193" s="9">
        <v>45887</v>
      </c>
      <c r="C193" t="s">
        <v>56</v>
      </c>
      <c r="D193" t="s">
        <v>14</v>
      </c>
      <c r="E193" t="s">
        <v>43</v>
      </c>
      <c r="F193" t="s">
        <v>19</v>
      </c>
      <c r="G193">
        <v>1</v>
      </c>
      <c r="H193" s="7">
        <v>8071.89</v>
      </c>
      <c r="I193" s="10">
        <v>0</v>
      </c>
      <c r="J193" s="7">
        <v>8071.89</v>
      </c>
      <c r="K193" t="s">
        <v>50</v>
      </c>
    </row>
    <row r="194" spans="1:11" x14ac:dyDescent="0.25">
      <c r="A194" t="s">
        <v>254</v>
      </c>
      <c r="B194" s="9">
        <v>45888</v>
      </c>
      <c r="C194" t="s">
        <v>54</v>
      </c>
      <c r="D194" t="s">
        <v>14</v>
      </c>
      <c r="E194" t="s">
        <v>52</v>
      </c>
      <c r="F194" t="s">
        <v>16</v>
      </c>
      <c r="G194">
        <v>4</v>
      </c>
      <c r="H194" s="7">
        <v>1787.05</v>
      </c>
      <c r="I194" s="10">
        <v>0.15</v>
      </c>
      <c r="J194" s="7">
        <v>6075.97</v>
      </c>
      <c r="K194" t="s">
        <v>50</v>
      </c>
    </row>
    <row r="195" spans="1:11" x14ac:dyDescent="0.25">
      <c r="A195" t="s">
        <v>255</v>
      </c>
      <c r="B195" s="9">
        <v>45888</v>
      </c>
      <c r="C195" t="s">
        <v>42</v>
      </c>
      <c r="D195" t="s">
        <v>17</v>
      </c>
      <c r="E195" t="s">
        <v>43</v>
      </c>
      <c r="F195" t="s">
        <v>19</v>
      </c>
      <c r="G195">
        <v>7</v>
      </c>
      <c r="H195" s="7">
        <v>7898.25</v>
      </c>
      <c r="I195" s="10">
        <v>0.05</v>
      </c>
      <c r="J195" s="7">
        <v>52523.360000000001</v>
      </c>
      <c r="K195" t="s">
        <v>50</v>
      </c>
    </row>
    <row r="196" spans="1:11" x14ac:dyDescent="0.25">
      <c r="A196" t="s">
        <v>256</v>
      </c>
      <c r="B196" s="9">
        <v>45889</v>
      </c>
      <c r="C196" t="s">
        <v>54</v>
      </c>
      <c r="D196" t="s">
        <v>20</v>
      </c>
      <c r="E196" t="s">
        <v>57</v>
      </c>
      <c r="F196" t="s">
        <v>16</v>
      </c>
      <c r="G196">
        <v>5</v>
      </c>
      <c r="H196" s="7">
        <v>12184.08</v>
      </c>
      <c r="I196" s="10">
        <v>0</v>
      </c>
      <c r="J196" s="7">
        <v>60920.4</v>
      </c>
      <c r="K196" t="s">
        <v>44</v>
      </c>
    </row>
    <row r="197" spans="1:11" x14ac:dyDescent="0.25">
      <c r="A197" t="s">
        <v>257</v>
      </c>
      <c r="B197" s="9">
        <v>45894</v>
      </c>
      <c r="C197" t="s">
        <v>54</v>
      </c>
      <c r="D197" t="s">
        <v>23</v>
      </c>
      <c r="E197" t="s">
        <v>68</v>
      </c>
      <c r="F197" t="s">
        <v>13</v>
      </c>
      <c r="G197">
        <v>7</v>
      </c>
      <c r="H197" s="7">
        <v>661.02</v>
      </c>
      <c r="I197" s="10">
        <v>0.1</v>
      </c>
      <c r="J197" s="7">
        <v>4164.43</v>
      </c>
      <c r="K197" t="s">
        <v>47</v>
      </c>
    </row>
    <row r="198" spans="1:11" x14ac:dyDescent="0.25">
      <c r="A198" t="s">
        <v>258</v>
      </c>
      <c r="B198" s="9">
        <v>45895</v>
      </c>
      <c r="C198" t="s">
        <v>81</v>
      </c>
      <c r="D198" t="s">
        <v>14</v>
      </c>
      <c r="E198" t="s">
        <v>62</v>
      </c>
      <c r="F198" t="s">
        <v>13</v>
      </c>
      <c r="G198">
        <v>4</v>
      </c>
      <c r="H198" s="7">
        <v>1204.55</v>
      </c>
      <c r="I198" s="10">
        <v>0</v>
      </c>
      <c r="J198" s="7">
        <v>4818.2</v>
      </c>
      <c r="K198" t="s">
        <v>47</v>
      </c>
    </row>
    <row r="199" spans="1:11" x14ac:dyDescent="0.25">
      <c r="A199" t="s">
        <v>259</v>
      </c>
      <c r="B199" s="9">
        <v>45896</v>
      </c>
      <c r="C199" t="s">
        <v>81</v>
      </c>
      <c r="D199" t="s">
        <v>23</v>
      </c>
      <c r="E199" t="s">
        <v>62</v>
      </c>
      <c r="F199" t="s">
        <v>13</v>
      </c>
      <c r="G199">
        <v>8</v>
      </c>
      <c r="H199" s="7">
        <v>1186.57</v>
      </c>
      <c r="I199" s="10">
        <v>0.15</v>
      </c>
      <c r="J199" s="7">
        <v>8068.68</v>
      </c>
      <c r="K199" t="s">
        <v>50</v>
      </c>
    </row>
    <row r="200" spans="1:11" x14ac:dyDescent="0.25">
      <c r="A200" t="s">
        <v>260</v>
      </c>
      <c r="B200" s="9">
        <v>45897</v>
      </c>
      <c r="C200" t="s">
        <v>81</v>
      </c>
      <c r="D200" t="s">
        <v>20</v>
      </c>
      <c r="E200" t="s">
        <v>92</v>
      </c>
      <c r="F200" t="s">
        <v>22</v>
      </c>
      <c r="G200">
        <v>6</v>
      </c>
      <c r="H200" s="7">
        <v>87.55</v>
      </c>
      <c r="I200" s="10">
        <v>0</v>
      </c>
      <c r="J200" s="7">
        <v>525.29999999999995</v>
      </c>
      <c r="K200" t="s">
        <v>47</v>
      </c>
    </row>
    <row r="201" spans="1:11" x14ac:dyDescent="0.25">
      <c r="A201" t="s">
        <v>261</v>
      </c>
      <c r="B201" s="9">
        <v>45898</v>
      </c>
      <c r="C201" t="s">
        <v>56</v>
      </c>
      <c r="D201" t="s">
        <v>20</v>
      </c>
      <c r="E201" t="s">
        <v>92</v>
      </c>
      <c r="F201" t="s">
        <v>22</v>
      </c>
      <c r="G201">
        <v>2</v>
      </c>
      <c r="H201" s="7">
        <v>94.24</v>
      </c>
      <c r="I201" s="10">
        <v>0</v>
      </c>
      <c r="J201" s="7">
        <v>188.48</v>
      </c>
      <c r="K201" t="s">
        <v>44</v>
      </c>
    </row>
    <row r="202" spans="1:11" x14ac:dyDescent="0.25">
      <c r="A202" t="s">
        <v>262</v>
      </c>
      <c r="B202" s="9">
        <v>45898</v>
      </c>
      <c r="C202" t="s">
        <v>84</v>
      </c>
      <c r="D202" t="s">
        <v>17</v>
      </c>
      <c r="E202" t="s">
        <v>65</v>
      </c>
      <c r="F202" t="s">
        <v>19</v>
      </c>
      <c r="G202">
        <v>3</v>
      </c>
      <c r="H202" s="7">
        <v>9193.82</v>
      </c>
      <c r="I202" s="10">
        <v>0.1</v>
      </c>
      <c r="J202" s="7">
        <v>24823.31</v>
      </c>
      <c r="K202" t="s">
        <v>50</v>
      </c>
    </row>
    <row r="203" spans="1:11" x14ac:dyDescent="0.25">
      <c r="A203" t="s">
        <v>263</v>
      </c>
      <c r="B203" s="9">
        <v>45902</v>
      </c>
      <c r="C203" t="s">
        <v>59</v>
      </c>
      <c r="D203" t="s">
        <v>23</v>
      </c>
      <c r="E203" t="s">
        <v>75</v>
      </c>
      <c r="F203" t="s">
        <v>22</v>
      </c>
      <c r="G203">
        <v>2</v>
      </c>
      <c r="H203" s="7">
        <v>148.69999999999999</v>
      </c>
      <c r="I203" s="10">
        <v>0.1</v>
      </c>
      <c r="J203" s="7">
        <v>267.66000000000003</v>
      </c>
      <c r="K203" t="s">
        <v>44</v>
      </c>
    </row>
    <row r="204" spans="1:11" x14ac:dyDescent="0.25">
      <c r="A204" t="s">
        <v>264</v>
      </c>
      <c r="B204" s="9">
        <v>45903</v>
      </c>
      <c r="C204" t="s">
        <v>54</v>
      </c>
      <c r="D204" t="s">
        <v>17</v>
      </c>
      <c r="E204" t="s">
        <v>68</v>
      </c>
      <c r="F204" t="s">
        <v>13</v>
      </c>
      <c r="G204">
        <v>8</v>
      </c>
      <c r="H204" s="7">
        <v>636.16999999999996</v>
      </c>
      <c r="I204" s="10">
        <v>0</v>
      </c>
      <c r="J204" s="7">
        <v>5089.3599999999997</v>
      </c>
      <c r="K204" t="s">
        <v>44</v>
      </c>
    </row>
    <row r="205" spans="1:11" x14ac:dyDescent="0.25">
      <c r="A205" t="s">
        <v>265</v>
      </c>
      <c r="B205" s="9">
        <v>45903</v>
      </c>
      <c r="C205" t="s">
        <v>81</v>
      </c>
      <c r="D205" t="s">
        <v>20</v>
      </c>
      <c r="E205" t="s">
        <v>46</v>
      </c>
      <c r="F205" t="s">
        <v>13</v>
      </c>
      <c r="G205">
        <v>2</v>
      </c>
      <c r="H205" s="7">
        <v>551.78</v>
      </c>
      <c r="I205" s="10">
        <v>0.15</v>
      </c>
      <c r="J205" s="7">
        <v>938.03</v>
      </c>
      <c r="K205" t="s">
        <v>50</v>
      </c>
    </row>
    <row r="206" spans="1:11" x14ac:dyDescent="0.25">
      <c r="A206" t="s">
        <v>266</v>
      </c>
      <c r="B206" s="9">
        <v>45904</v>
      </c>
      <c r="C206" t="s">
        <v>84</v>
      </c>
      <c r="D206" t="s">
        <v>20</v>
      </c>
      <c r="E206" t="s">
        <v>52</v>
      </c>
      <c r="F206" t="s">
        <v>16</v>
      </c>
      <c r="G206">
        <v>2</v>
      </c>
      <c r="H206" s="7">
        <v>1874.25</v>
      </c>
      <c r="I206" s="10">
        <v>0.15</v>
      </c>
      <c r="J206" s="7">
        <v>3186.22</v>
      </c>
      <c r="K206" t="s">
        <v>44</v>
      </c>
    </row>
    <row r="207" spans="1:11" x14ac:dyDescent="0.25">
      <c r="A207" t="s">
        <v>267</v>
      </c>
      <c r="B207" s="9">
        <v>45905</v>
      </c>
      <c r="C207" t="s">
        <v>81</v>
      </c>
      <c r="D207" t="s">
        <v>17</v>
      </c>
      <c r="E207" t="s">
        <v>75</v>
      </c>
      <c r="F207" t="s">
        <v>22</v>
      </c>
      <c r="G207">
        <v>4</v>
      </c>
      <c r="H207" s="7">
        <v>149.74</v>
      </c>
      <c r="I207" s="10">
        <v>0</v>
      </c>
      <c r="J207" s="7">
        <v>598.96</v>
      </c>
      <c r="K207" t="s">
        <v>50</v>
      </c>
    </row>
    <row r="208" spans="1:11" x14ac:dyDescent="0.25">
      <c r="A208" t="s">
        <v>268</v>
      </c>
      <c r="B208" s="9">
        <v>45906</v>
      </c>
      <c r="C208" t="s">
        <v>54</v>
      </c>
      <c r="D208" t="s">
        <v>14</v>
      </c>
      <c r="E208" t="s">
        <v>68</v>
      </c>
      <c r="F208" t="s">
        <v>13</v>
      </c>
      <c r="G208">
        <v>3</v>
      </c>
      <c r="H208" s="7">
        <v>617.27</v>
      </c>
      <c r="I208" s="10">
        <v>0.1</v>
      </c>
      <c r="J208" s="7">
        <v>1666.63</v>
      </c>
      <c r="K208" t="s">
        <v>44</v>
      </c>
    </row>
    <row r="209" spans="1:11" x14ac:dyDescent="0.25">
      <c r="A209" t="s">
        <v>269</v>
      </c>
      <c r="B209" s="9">
        <v>45908</v>
      </c>
      <c r="C209" t="s">
        <v>56</v>
      </c>
      <c r="D209" t="s">
        <v>17</v>
      </c>
      <c r="E209" t="s">
        <v>68</v>
      </c>
      <c r="F209" t="s">
        <v>13</v>
      </c>
      <c r="G209">
        <v>8</v>
      </c>
      <c r="H209" s="7">
        <v>645.96</v>
      </c>
      <c r="I209" s="10">
        <v>0.05</v>
      </c>
      <c r="J209" s="7">
        <v>4909.3</v>
      </c>
      <c r="K209" t="s">
        <v>44</v>
      </c>
    </row>
    <row r="210" spans="1:11" x14ac:dyDescent="0.25">
      <c r="A210" t="s">
        <v>270</v>
      </c>
      <c r="B210" s="9">
        <v>45908</v>
      </c>
      <c r="C210" t="s">
        <v>59</v>
      </c>
      <c r="D210" t="s">
        <v>20</v>
      </c>
      <c r="E210" t="s">
        <v>70</v>
      </c>
      <c r="F210" t="s">
        <v>16</v>
      </c>
      <c r="G210">
        <v>1</v>
      </c>
      <c r="H210" s="7">
        <v>52840.97</v>
      </c>
      <c r="I210" s="10">
        <v>0</v>
      </c>
      <c r="J210" s="7">
        <v>52840.97</v>
      </c>
      <c r="K210" t="s">
        <v>50</v>
      </c>
    </row>
    <row r="211" spans="1:11" x14ac:dyDescent="0.25">
      <c r="A211" t="s">
        <v>271</v>
      </c>
      <c r="B211" s="9">
        <v>45910</v>
      </c>
      <c r="C211" t="s">
        <v>49</v>
      </c>
      <c r="D211" t="s">
        <v>20</v>
      </c>
      <c r="E211" t="s">
        <v>65</v>
      </c>
      <c r="F211" t="s">
        <v>19</v>
      </c>
      <c r="G211">
        <v>8</v>
      </c>
      <c r="H211" s="7">
        <v>9995.08</v>
      </c>
      <c r="I211" s="10">
        <v>0.05</v>
      </c>
      <c r="J211" s="7">
        <v>75962.61</v>
      </c>
      <c r="K211" t="s">
        <v>44</v>
      </c>
    </row>
    <row r="212" spans="1:11" x14ac:dyDescent="0.25">
      <c r="A212" t="s">
        <v>272</v>
      </c>
      <c r="B212" s="9">
        <v>45913</v>
      </c>
      <c r="C212" t="s">
        <v>56</v>
      </c>
      <c r="D212" t="s">
        <v>23</v>
      </c>
      <c r="E212" t="s">
        <v>75</v>
      </c>
      <c r="F212" t="s">
        <v>22</v>
      </c>
      <c r="G212">
        <v>1</v>
      </c>
      <c r="H212" s="7">
        <v>150</v>
      </c>
      <c r="I212" s="10">
        <v>0</v>
      </c>
      <c r="J212" s="7">
        <v>150</v>
      </c>
      <c r="K212" t="s">
        <v>47</v>
      </c>
    </row>
    <row r="213" spans="1:11" x14ac:dyDescent="0.25">
      <c r="A213" t="s">
        <v>273</v>
      </c>
      <c r="B213" s="9">
        <v>45913</v>
      </c>
      <c r="C213" t="s">
        <v>84</v>
      </c>
      <c r="D213" t="s">
        <v>14</v>
      </c>
      <c r="E213" t="s">
        <v>43</v>
      </c>
      <c r="F213" t="s">
        <v>19</v>
      </c>
      <c r="G213">
        <v>1</v>
      </c>
      <c r="H213" s="7">
        <v>7819.75</v>
      </c>
      <c r="I213" s="10">
        <v>0</v>
      </c>
      <c r="J213" s="7">
        <v>7819.75</v>
      </c>
      <c r="K213" t="s">
        <v>50</v>
      </c>
    </row>
    <row r="214" spans="1:11" x14ac:dyDescent="0.25">
      <c r="A214" t="s">
        <v>274</v>
      </c>
      <c r="B214" s="9">
        <v>45914</v>
      </c>
      <c r="C214" t="s">
        <v>54</v>
      </c>
      <c r="D214" t="s">
        <v>17</v>
      </c>
      <c r="E214" t="s">
        <v>43</v>
      </c>
      <c r="F214" t="s">
        <v>19</v>
      </c>
      <c r="G214">
        <v>8</v>
      </c>
      <c r="H214" s="7">
        <v>7338.49</v>
      </c>
      <c r="I214" s="10">
        <v>0</v>
      </c>
      <c r="J214" s="7">
        <v>58707.92</v>
      </c>
      <c r="K214" t="s">
        <v>50</v>
      </c>
    </row>
    <row r="215" spans="1:11" x14ac:dyDescent="0.25">
      <c r="A215" t="s">
        <v>275</v>
      </c>
      <c r="B215" s="9">
        <v>45915</v>
      </c>
      <c r="C215" t="s">
        <v>56</v>
      </c>
      <c r="D215" t="s">
        <v>23</v>
      </c>
      <c r="E215" t="s">
        <v>57</v>
      </c>
      <c r="F215" t="s">
        <v>16</v>
      </c>
      <c r="G215">
        <v>8</v>
      </c>
      <c r="H215" s="7">
        <v>12951.8</v>
      </c>
      <c r="I215" s="10">
        <v>0.1</v>
      </c>
      <c r="J215" s="7">
        <v>93252.96</v>
      </c>
      <c r="K215" t="s">
        <v>44</v>
      </c>
    </row>
    <row r="216" spans="1:11" x14ac:dyDescent="0.25">
      <c r="A216" t="s">
        <v>276</v>
      </c>
      <c r="B216" s="9">
        <v>45915</v>
      </c>
      <c r="C216" t="s">
        <v>42</v>
      </c>
      <c r="D216" t="s">
        <v>17</v>
      </c>
      <c r="E216" t="s">
        <v>62</v>
      </c>
      <c r="F216" t="s">
        <v>13</v>
      </c>
      <c r="G216">
        <v>7</v>
      </c>
      <c r="H216" s="7">
        <v>1148.71</v>
      </c>
      <c r="I216" s="10">
        <v>0.15</v>
      </c>
      <c r="J216" s="7">
        <v>6834.82</v>
      </c>
      <c r="K216" t="s">
        <v>50</v>
      </c>
    </row>
    <row r="217" spans="1:11" x14ac:dyDescent="0.25">
      <c r="A217" t="s">
        <v>277</v>
      </c>
      <c r="B217" s="9">
        <v>45915</v>
      </c>
      <c r="C217" t="s">
        <v>59</v>
      </c>
      <c r="D217" t="s">
        <v>17</v>
      </c>
      <c r="E217" t="s">
        <v>70</v>
      </c>
      <c r="F217" t="s">
        <v>16</v>
      </c>
      <c r="G217">
        <v>8</v>
      </c>
      <c r="H217" s="7">
        <v>50910.36</v>
      </c>
      <c r="I217" s="10">
        <v>0.15</v>
      </c>
      <c r="J217" s="7">
        <v>346190.45</v>
      </c>
      <c r="K217" t="s">
        <v>47</v>
      </c>
    </row>
    <row r="218" spans="1:11" x14ac:dyDescent="0.25">
      <c r="A218" t="s">
        <v>278</v>
      </c>
      <c r="B218" s="9">
        <v>45917</v>
      </c>
      <c r="C218" t="s">
        <v>49</v>
      </c>
      <c r="D218" t="s">
        <v>23</v>
      </c>
      <c r="E218" t="s">
        <v>68</v>
      </c>
      <c r="F218" t="s">
        <v>13</v>
      </c>
      <c r="G218">
        <v>5</v>
      </c>
      <c r="H218" s="7">
        <v>612.54999999999995</v>
      </c>
      <c r="I218" s="10">
        <v>0</v>
      </c>
      <c r="J218" s="7">
        <v>3062.75</v>
      </c>
      <c r="K218" t="s">
        <v>50</v>
      </c>
    </row>
    <row r="219" spans="1:11" x14ac:dyDescent="0.25">
      <c r="A219" t="s">
        <v>279</v>
      </c>
      <c r="B219" s="9">
        <v>45918</v>
      </c>
      <c r="C219" t="s">
        <v>49</v>
      </c>
      <c r="D219" t="s">
        <v>20</v>
      </c>
      <c r="E219" t="s">
        <v>57</v>
      </c>
      <c r="F219" t="s">
        <v>16</v>
      </c>
      <c r="G219">
        <v>1</v>
      </c>
      <c r="H219" s="7">
        <v>12077.12</v>
      </c>
      <c r="I219" s="10">
        <v>0</v>
      </c>
      <c r="J219" s="7">
        <v>12077.12</v>
      </c>
      <c r="K219" t="s">
        <v>50</v>
      </c>
    </row>
    <row r="220" spans="1:11" x14ac:dyDescent="0.25">
      <c r="A220" t="s">
        <v>280</v>
      </c>
      <c r="B220" s="9">
        <v>45919</v>
      </c>
      <c r="C220" t="s">
        <v>59</v>
      </c>
      <c r="D220" t="s">
        <v>23</v>
      </c>
      <c r="E220" t="s">
        <v>62</v>
      </c>
      <c r="F220" t="s">
        <v>13</v>
      </c>
      <c r="G220">
        <v>7</v>
      </c>
      <c r="H220" s="7">
        <v>1238.52</v>
      </c>
      <c r="I220" s="10">
        <v>0.05</v>
      </c>
      <c r="J220" s="7">
        <v>8236.16</v>
      </c>
      <c r="K220" t="s">
        <v>50</v>
      </c>
    </row>
    <row r="221" spans="1:11" x14ac:dyDescent="0.25">
      <c r="A221" t="s">
        <v>281</v>
      </c>
      <c r="B221" s="9">
        <v>45920</v>
      </c>
      <c r="C221" t="s">
        <v>81</v>
      </c>
      <c r="D221" t="s">
        <v>20</v>
      </c>
      <c r="E221" t="s">
        <v>62</v>
      </c>
      <c r="F221" t="s">
        <v>13</v>
      </c>
      <c r="G221">
        <v>5</v>
      </c>
      <c r="H221" s="7">
        <v>1113.79</v>
      </c>
      <c r="I221" s="10">
        <v>0.15</v>
      </c>
      <c r="J221" s="7">
        <v>4733.6099999999997</v>
      </c>
      <c r="K221" t="s">
        <v>50</v>
      </c>
    </row>
    <row r="222" spans="1:11" x14ac:dyDescent="0.25">
      <c r="A222" t="s">
        <v>282</v>
      </c>
      <c r="B222" s="9">
        <v>45921</v>
      </c>
      <c r="C222" t="s">
        <v>72</v>
      </c>
      <c r="D222" t="s">
        <v>20</v>
      </c>
      <c r="E222" t="s">
        <v>68</v>
      </c>
      <c r="F222" t="s">
        <v>13</v>
      </c>
      <c r="G222">
        <v>7</v>
      </c>
      <c r="H222" s="7">
        <v>677.93</v>
      </c>
      <c r="I222" s="10">
        <v>0.05</v>
      </c>
      <c r="J222" s="7">
        <v>4508.2299999999996</v>
      </c>
      <c r="K222" t="s">
        <v>50</v>
      </c>
    </row>
    <row r="223" spans="1:11" x14ac:dyDescent="0.25">
      <c r="A223" t="s">
        <v>283</v>
      </c>
      <c r="B223" s="9">
        <v>45925</v>
      </c>
      <c r="C223" t="s">
        <v>72</v>
      </c>
      <c r="D223" t="s">
        <v>23</v>
      </c>
      <c r="E223" t="s">
        <v>62</v>
      </c>
      <c r="F223" t="s">
        <v>13</v>
      </c>
      <c r="G223">
        <v>4</v>
      </c>
      <c r="H223" s="7">
        <v>1174.22</v>
      </c>
      <c r="I223" s="10">
        <v>0.15</v>
      </c>
      <c r="J223" s="7">
        <v>3992.35</v>
      </c>
      <c r="K223" t="s">
        <v>50</v>
      </c>
    </row>
    <row r="224" spans="1:11" x14ac:dyDescent="0.25">
      <c r="A224" t="s">
        <v>284</v>
      </c>
      <c r="B224" s="9">
        <v>45926</v>
      </c>
      <c r="C224" t="s">
        <v>72</v>
      </c>
      <c r="D224" t="s">
        <v>23</v>
      </c>
      <c r="E224" t="s">
        <v>65</v>
      </c>
      <c r="F224" t="s">
        <v>19</v>
      </c>
      <c r="G224">
        <v>8</v>
      </c>
      <c r="H224" s="7">
        <v>9711.75</v>
      </c>
      <c r="I224" s="10">
        <v>0.15</v>
      </c>
      <c r="J224" s="7">
        <v>66039.899999999994</v>
      </c>
      <c r="K224" t="s">
        <v>50</v>
      </c>
    </row>
    <row r="225" spans="1:11" x14ac:dyDescent="0.25">
      <c r="A225" t="s">
        <v>285</v>
      </c>
      <c r="B225" s="9">
        <v>45927</v>
      </c>
      <c r="C225" t="s">
        <v>42</v>
      </c>
      <c r="D225" t="s">
        <v>23</v>
      </c>
      <c r="E225" t="s">
        <v>43</v>
      </c>
      <c r="F225" t="s">
        <v>19</v>
      </c>
      <c r="G225">
        <v>2</v>
      </c>
      <c r="H225" s="7">
        <v>8162.39</v>
      </c>
      <c r="I225" s="10">
        <v>0.05</v>
      </c>
      <c r="J225" s="7">
        <v>15508.54</v>
      </c>
      <c r="K225" t="s">
        <v>44</v>
      </c>
    </row>
    <row r="226" spans="1:11" x14ac:dyDescent="0.25">
      <c r="A226" t="s">
        <v>286</v>
      </c>
      <c r="B226" s="9">
        <v>45928</v>
      </c>
      <c r="C226" t="s">
        <v>54</v>
      </c>
      <c r="D226" t="s">
        <v>20</v>
      </c>
      <c r="E226" t="s">
        <v>65</v>
      </c>
      <c r="F226" t="s">
        <v>19</v>
      </c>
      <c r="G226">
        <v>2</v>
      </c>
      <c r="H226" s="7">
        <v>8762.31</v>
      </c>
      <c r="I226" s="10">
        <v>0.05</v>
      </c>
      <c r="J226" s="7">
        <v>16648.39</v>
      </c>
      <c r="K226" t="s">
        <v>44</v>
      </c>
    </row>
    <row r="227" spans="1:11" x14ac:dyDescent="0.25">
      <c r="A227" t="s">
        <v>287</v>
      </c>
      <c r="B227" s="9">
        <v>45929</v>
      </c>
      <c r="C227" t="s">
        <v>54</v>
      </c>
      <c r="D227" t="s">
        <v>17</v>
      </c>
      <c r="E227" t="s">
        <v>68</v>
      </c>
      <c r="F227" t="s">
        <v>13</v>
      </c>
      <c r="G227">
        <v>8</v>
      </c>
      <c r="H227" s="7">
        <v>647.91999999999996</v>
      </c>
      <c r="I227" s="10">
        <v>0.1</v>
      </c>
      <c r="J227" s="7">
        <v>4665.0200000000004</v>
      </c>
      <c r="K227" t="s">
        <v>44</v>
      </c>
    </row>
    <row r="228" spans="1:11" x14ac:dyDescent="0.25">
      <c r="A228" t="s">
        <v>288</v>
      </c>
      <c r="B228" s="9">
        <v>45929</v>
      </c>
      <c r="C228" t="s">
        <v>54</v>
      </c>
      <c r="D228" t="s">
        <v>17</v>
      </c>
      <c r="E228" t="s">
        <v>57</v>
      </c>
      <c r="F228" t="s">
        <v>16</v>
      </c>
      <c r="G228">
        <v>7</v>
      </c>
      <c r="H228" s="7">
        <v>11863.09</v>
      </c>
      <c r="I228" s="10">
        <v>0</v>
      </c>
      <c r="J228" s="7">
        <v>83041.63</v>
      </c>
      <c r="K228" t="s">
        <v>50</v>
      </c>
    </row>
    <row r="229" spans="1:11" x14ac:dyDescent="0.25">
      <c r="A229" t="s">
        <v>289</v>
      </c>
      <c r="B229" s="9">
        <v>45930</v>
      </c>
      <c r="C229" t="s">
        <v>56</v>
      </c>
      <c r="D229" t="s">
        <v>17</v>
      </c>
      <c r="E229" t="s">
        <v>68</v>
      </c>
      <c r="F229" t="s">
        <v>13</v>
      </c>
      <c r="G229">
        <v>6</v>
      </c>
      <c r="H229" s="7">
        <v>632</v>
      </c>
      <c r="I229" s="10">
        <v>0</v>
      </c>
      <c r="J229" s="7">
        <v>3792</v>
      </c>
      <c r="K229" t="s">
        <v>47</v>
      </c>
    </row>
    <row r="230" spans="1:11" x14ac:dyDescent="0.25">
      <c r="A230" t="s">
        <v>290</v>
      </c>
      <c r="B230" s="9">
        <v>45935</v>
      </c>
      <c r="C230" t="s">
        <v>42</v>
      </c>
      <c r="D230" t="s">
        <v>23</v>
      </c>
      <c r="E230" t="s">
        <v>75</v>
      </c>
      <c r="F230" t="s">
        <v>22</v>
      </c>
      <c r="G230">
        <v>2</v>
      </c>
      <c r="H230" s="7">
        <v>155.80000000000001</v>
      </c>
      <c r="I230" s="10">
        <v>0</v>
      </c>
      <c r="J230" s="7">
        <v>311.60000000000002</v>
      </c>
      <c r="K230" t="s">
        <v>50</v>
      </c>
    </row>
    <row r="231" spans="1:11" x14ac:dyDescent="0.25">
      <c r="A231" t="s">
        <v>291</v>
      </c>
      <c r="B231" s="9">
        <v>45935</v>
      </c>
      <c r="C231" t="s">
        <v>81</v>
      </c>
      <c r="D231" t="s">
        <v>23</v>
      </c>
      <c r="E231" t="s">
        <v>62</v>
      </c>
      <c r="F231" t="s">
        <v>13</v>
      </c>
      <c r="G231">
        <v>1</v>
      </c>
      <c r="H231" s="7">
        <v>1151.02</v>
      </c>
      <c r="I231" s="10">
        <v>0</v>
      </c>
      <c r="J231" s="7">
        <v>1151.02</v>
      </c>
      <c r="K231" t="s">
        <v>50</v>
      </c>
    </row>
    <row r="232" spans="1:11" x14ac:dyDescent="0.25">
      <c r="A232" t="s">
        <v>292</v>
      </c>
      <c r="B232" s="9">
        <v>45935</v>
      </c>
      <c r="C232" t="s">
        <v>42</v>
      </c>
      <c r="D232" t="s">
        <v>23</v>
      </c>
      <c r="E232" t="s">
        <v>75</v>
      </c>
      <c r="F232" t="s">
        <v>22</v>
      </c>
      <c r="G232">
        <v>7</v>
      </c>
      <c r="H232" s="7">
        <v>158.79</v>
      </c>
      <c r="I232" s="10">
        <v>0</v>
      </c>
      <c r="J232" s="7">
        <v>1111.53</v>
      </c>
      <c r="K232" t="s">
        <v>44</v>
      </c>
    </row>
    <row r="233" spans="1:11" x14ac:dyDescent="0.25">
      <c r="A233" t="s">
        <v>293</v>
      </c>
      <c r="B233" s="9">
        <v>45938</v>
      </c>
      <c r="C233" t="s">
        <v>81</v>
      </c>
      <c r="D233" t="s">
        <v>17</v>
      </c>
      <c r="E233" t="s">
        <v>70</v>
      </c>
      <c r="F233" t="s">
        <v>16</v>
      </c>
      <c r="G233">
        <v>8</v>
      </c>
      <c r="H233" s="7">
        <v>49162.17</v>
      </c>
      <c r="I233" s="10">
        <v>0.1</v>
      </c>
      <c r="J233" s="7">
        <v>353967.62</v>
      </c>
      <c r="K233" t="s">
        <v>50</v>
      </c>
    </row>
    <row r="234" spans="1:11" x14ac:dyDescent="0.25">
      <c r="A234" t="s">
        <v>294</v>
      </c>
      <c r="B234" s="9">
        <v>45941</v>
      </c>
      <c r="C234" t="s">
        <v>72</v>
      </c>
      <c r="D234" t="s">
        <v>14</v>
      </c>
      <c r="E234" t="s">
        <v>52</v>
      </c>
      <c r="F234" t="s">
        <v>16</v>
      </c>
      <c r="G234">
        <v>2</v>
      </c>
      <c r="H234" s="7">
        <v>1907.67</v>
      </c>
      <c r="I234" s="10">
        <v>0.15</v>
      </c>
      <c r="J234" s="7">
        <v>3243.04</v>
      </c>
      <c r="K234" t="s">
        <v>47</v>
      </c>
    </row>
    <row r="235" spans="1:11" x14ac:dyDescent="0.25">
      <c r="A235" t="s">
        <v>295</v>
      </c>
      <c r="B235" s="9">
        <v>45944</v>
      </c>
      <c r="C235" t="s">
        <v>54</v>
      </c>
      <c r="D235" t="s">
        <v>14</v>
      </c>
      <c r="E235" t="s">
        <v>92</v>
      </c>
      <c r="F235" t="s">
        <v>22</v>
      </c>
      <c r="G235">
        <v>6</v>
      </c>
      <c r="H235" s="7">
        <v>87.96</v>
      </c>
      <c r="I235" s="10">
        <v>0.15</v>
      </c>
      <c r="J235" s="7">
        <v>448.6</v>
      </c>
      <c r="K235" t="s">
        <v>47</v>
      </c>
    </row>
    <row r="236" spans="1:11" x14ac:dyDescent="0.25">
      <c r="A236" t="s">
        <v>296</v>
      </c>
      <c r="B236" s="9">
        <v>45945</v>
      </c>
      <c r="C236" t="s">
        <v>54</v>
      </c>
      <c r="D236" t="s">
        <v>14</v>
      </c>
      <c r="E236" t="s">
        <v>68</v>
      </c>
      <c r="F236" t="s">
        <v>13</v>
      </c>
      <c r="G236">
        <v>5</v>
      </c>
      <c r="H236" s="7">
        <v>630.77</v>
      </c>
      <c r="I236" s="10">
        <v>0.15</v>
      </c>
      <c r="J236" s="7">
        <v>2680.77</v>
      </c>
      <c r="K236" t="s">
        <v>47</v>
      </c>
    </row>
    <row r="237" spans="1:11" x14ac:dyDescent="0.25">
      <c r="A237" t="s">
        <v>297</v>
      </c>
      <c r="B237" s="9">
        <v>45946</v>
      </c>
      <c r="C237" t="s">
        <v>56</v>
      </c>
      <c r="D237" t="s">
        <v>23</v>
      </c>
      <c r="E237" t="s">
        <v>52</v>
      </c>
      <c r="F237" t="s">
        <v>16</v>
      </c>
      <c r="G237">
        <v>2</v>
      </c>
      <c r="H237" s="7">
        <v>1914.22</v>
      </c>
      <c r="I237" s="10">
        <v>0</v>
      </c>
      <c r="J237" s="7">
        <v>3828.44</v>
      </c>
      <c r="K237" t="s">
        <v>47</v>
      </c>
    </row>
    <row r="238" spans="1:11" x14ac:dyDescent="0.25">
      <c r="A238" t="s">
        <v>298</v>
      </c>
      <c r="B238" s="9">
        <v>45950</v>
      </c>
      <c r="C238" t="s">
        <v>56</v>
      </c>
      <c r="D238" t="s">
        <v>17</v>
      </c>
      <c r="E238" t="s">
        <v>46</v>
      </c>
      <c r="F238" t="s">
        <v>13</v>
      </c>
      <c r="G238">
        <v>6</v>
      </c>
      <c r="H238" s="7">
        <v>537.82000000000005</v>
      </c>
      <c r="I238" s="10">
        <v>0.05</v>
      </c>
      <c r="J238" s="7">
        <v>3065.57</v>
      </c>
      <c r="K238" t="s">
        <v>44</v>
      </c>
    </row>
    <row r="239" spans="1:11" x14ac:dyDescent="0.25">
      <c r="A239" t="s">
        <v>299</v>
      </c>
      <c r="B239" s="9">
        <v>45950</v>
      </c>
      <c r="C239" t="s">
        <v>56</v>
      </c>
      <c r="D239" t="s">
        <v>17</v>
      </c>
      <c r="E239" t="s">
        <v>46</v>
      </c>
      <c r="F239" t="s">
        <v>13</v>
      </c>
      <c r="G239">
        <v>3</v>
      </c>
      <c r="H239" s="7">
        <v>554.89</v>
      </c>
      <c r="I239" s="10">
        <v>0.05</v>
      </c>
      <c r="J239" s="7">
        <v>1581.44</v>
      </c>
      <c r="K239" t="s">
        <v>50</v>
      </c>
    </row>
    <row r="240" spans="1:11" x14ac:dyDescent="0.25">
      <c r="A240" t="s">
        <v>300</v>
      </c>
      <c r="B240" s="9">
        <v>45951</v>
      </c>
      <c r="C240" t="s">
        <v>72</v>
      </c>
      <c r="D240" t="s">
        <v>17</v>
      </c>
      <c r="E240" t="s">
        <v>65</v>
      </c>
      <c r="F240" t="s">
        <v>19</v>
      </c>
      <c r="G240">
        <v>2</v>
      </c>
      <c r="H240" s="7">
        <v>9473.8799999999992</v>
      </c>
      <c r="I240" s="10">
        <v>0.15</v>
      </c>
      <c r="J240" s="7">
        <v>16105.6</v>
      </c>
      <c r="K240" t="s">
        <v>44</v>
      </c>
    </row>
    <row r="241" spans="1:11" x14ac:dyDescent="0.25">
      <c r="A241" t="s">
        <v>301</v>
      </c>
      <c r="B241" s="9">
        <v>45953</v>
      </c>
      <c r="C241" t="s">
        <v>72</v>
      </c>
      <c r="D241" t="s">
        <v>23</v>
      </c>
      <c r="E241" t="s">
        <v>68</v>
      </c>
      <c r="F241" t="s">
        <v>13</v>
      </c>
      <c r="G241">
        <v>5</v>
      </c>
      <c r="H241" s="7">
        <v>655.9</v>
      </c>
      <c r="I241" s="10">
        <v>0</v>
      </c>
      <c r="J241" s="7">
        <v>3279.5</v>
      </c>
      <c r="K241" t="s">
        <v>47</v>
      </c>
    </row>
    <row r="242" spans="1:11" x14ac:dyDescent="0.25">
      <c r="A242" t="s">
        <v>302</v>
      </c>
      <c r="B242" s="9">
        <v>45954</v>
      </c>
      <c r="C242" t="s">
        <v>56</v>
      </c>
      <c r="D242" t="s">
        <v>17</v>
      </c>
      <c r="E242" t="s">
        <v>75</v>
      </c>
      <c r="F242" t="s">
        <v>22</v>
      </c>
      <c r="G242">
        <v>8</v>
      </c>
      <c r="H242" s="7">
        <v>140.88</v>
      </c>
      <c r="I242" s="10">
        <v>0</v>
      </c>
      <c r="J242" s="7">
        <v>1127.04</v>
      </c>
      <c r="K242" t="s">
        <v>44</v>
      </c>
    </row>
    <row r="243" spans="1:11" x14ac:dyDescent="0.25">
      <c r="A243" t="s">
        <v>303</v>
      </c>
      <c r="B243" s="9">
        <v>45956</v>
      </c>
      <c r="C243" t="s">
        <v>42</v>
      </c>
      <c r="D243" t="s">
        <v>23</v>
      </c>
      <c r="E243" t="s">
        <v>75</v>
      </c>
      <c r="F243" t="s">
        <v>22</v>
      </c>
      <c r="G243">
        <v>2</v>
      </c>
      <c r="H243" s="7">
        <v>161.28</v>
      </c>
      <c r="I243" s="10">
        <v>0.15</v>
      </c>
      <c r="J243" s="7">
        <v>274.18</v>
      </c>
      <c r="K243" t="s">
        <v>44</v>
      </c>
    </row>
    <row r="244" spans="1:11" x14ac:dyDescent="0.25">
      <c r="A244" t="s">
        <v>304</v>
      </c>
      <c r="B244" s="9">
        <v>45956</v>
      </c>
      <c r="C244" t="s">
        <v>56</v>
      </c>
      <c r="D244" t="s">
        <v>20</v>
      </c>
      <c r="E244" t="s">
        <v>65</v>
      </c>
      <c r="F244" t="s">
        <v>19</v>
      </c>
      <c r="G244">
        <v>7</v>
      </c>
      <c r="H244" s="7">
        <v>8814.57</v>
      </c>
      <c r="I244" s="10">
        <v>0.1</v>
      </c>
      <c r="J244" s="7">
        <v>55531.79</v>
      </c>
      <c r="K244" t="s">
        <v>44</v>
      </c>
    </row>
    <row r="245" spans="1:11" x14ac:dyDescent="0.25">
      <c r="A245" t="s">
        <v>305</v>
      </c>
      <c r="B245" s="9">
        <v>45960</v>
      </c>
      <c r="C245" t="s">
        <v>81</v>
      </c>
      <c r="D245" t="s">
        <v>14</v>
      </c>
      <c r="E245" t="s">
        <v>70</v>
      </c>
      <c r="F245" t="s">
        <v>16</v>
      </c>
      <c r="G245">
        <v>8</v>
      </c>
      <c r="H245" s="7">
        <v>51980.62</v>
      </c>
      <c r="I245" s="10">
        <v>0</v>
      </c>
      <c r="J245" s="7">
        <v>415844.96</v>
      </c>
      <c r="K245" t="s">
        <v>44</v>
      </c>
    </row>
    <row r="246" spans="1:11" x14ac:dyDescent="0.25">
      <c r="A246" t="s">
        <v>306</v>
      </c>
      <c r="B246" s="9">
        <v>45964</v>
      </c>
      <c r="C246" t="s">
        <v>49</v>
      </c>
      <c r="D246" t="s">
        <v>20</v>
      </c>
      <c r="E246" t="s">
        <v>62</v>
      </c>
      <c r="F246" t="s">
        <v>13</v>
      </c>
      <c r="G246">
        <v>7</v>
      </c>
      <c r="H246" s="7">
        <v>1184.02</v>
      </c>
      <c r="I246" s="10">
        <v>0</v>
      </c>
      <c r="J246" s="7">
        <v>8288.14</v>
      </c>
      <c r="K246" t="s">
        <v>47</v>
      </c>
    </row>
    <row r="247" spans="1:11" x14ac:dyDescent="0.25">
      <c r="A247" t="s">
        <v>307</v>
      </c>
      <c r="B247" s="9">
        <v>45965</v>
      </c>
      <c r="C247" t="s">
        <v>49</v>
      </c>
      <c r="D247" t="s">
        <v>20</v>
      </c>
      <c r="E247" t="s">
        <v>62</v>
      </c>
      <c r="F247" t="s">
        <v>13</v>
      </c>
      <c r="G247">
        <v>5</v>
      </c>
      <c r="H247" s="7">
        <v>1158.45</v>
      </c>
      <c r="I247" s="10">
        <v>0.05</v>
      </c>
      <c r="J247" s="7">
        <v>5502.64</v>
      </c>
      <c r="K247" t="s">
        <v>50</v>
      </c>
    </row>
    <row r="248" spans="1:11" x14ac:dyDescent="0.25">
      <c r="A248" t="s">
        <v>308</v>
      </c>
      <c r="B248" s="9">
        <v>45967</v>
      </c>
      <c r="C248" t="s">
        <v>54</v>
      </c>
      <c r="D248" t="s">
        <v>23</v>
      </c>
      <c r="E248" t="s">
        <v>43</v>
      </c>
      <c r="F248" t="s">
        <v>19</v>
      </c>
      <c r="G248">
        <v>4</v>
      </c>
      <c r="H248" s="7">
        <v>7584.04</v>
      </c>
      <c r="I248" s="10">
        <v>0</v>
      </c>
      <c r="J248" s="7">
        <v>30336.16</v>
      </c>
      <c r="K248" t="s">
        <v>50</v>
      </c>
    </row>
    <row r="249" spans="1:11" x14ac:dyDescent="0.25">
      <c r="A249" t="s">
        <v>309</v>
      </c>
      <c r="B249" s="9">
        <v>45968</v>
      </c>
      <c r="C249" t="s">
        <v>84</v>
      </c>
      <c r="D249" t="s">
        <v>14</v>
      </c>
      <c r="E249" t="s">
        <v>92</v>
      </c>
      <c r="F249" t="s">
        <v>22</v>
      </c>
      <c r="G249">
        <v>4</v>
      </c>
      <c r="H249" s="7">
        <v>89.11</v>
      </c>
      <c r="I249" s="10">
        <v>0</v>
      </c>
      <c r="J249" s="7">
        <v>356.44</v>
      </c>
      <c r="K249" t="s">
        <v>50</v>
      </c>
    </row>
    <row r="250" spans="1:11" x14ac:dyDescent="0.25">
      <c r="A250" t="s">
        <v>310</v>
      </c>
      <c r="B250" s="9">
        <v>45969</v>
      </c>
      <c r="C250" t="s">
        <v>56</v>
      </c>
      <c r="D250" t="s">
        <v>17</v>
      </c>
      <c r="E250" t="s">
        <v>92</v>
      </c>
      <c r="F250" t="s">
        <v>22</v>
      </c>
      <c r="G250">
        <v>7</v>
      </c>
      <c r="H250" s="7">
        <v>85.38</v>
      </c>
      <c r="I250" s="10">
        <v>0</v>
      </c>
      <c r="J250" s="7">
        <v>597.66</v>
      </c>
      <c r="K250" t="s">
        <v>47</v>
      </c>
    </row>
    <row r="251" spans="1:11" x14ac:dyDescent="0.25">
      <c r="A251" t="s">
        <v>311</v>
      </c>
      <c r="B251" s="9">
        <v>45969</v>
      </c>
      <c r="C251" t="s">
        <v>49</v>
      </c>
      <c r="D251" t="s">
        <v>17</v>
      </c>
      <c r="E251" t="s">
        <v>43</v>
      </c>
      <c r="F251" t="s">
        <v>19</v>
      </c>
      <c r="G251">
        <v>4</v>
      </c>
      <c r="H251" s="7">
        <v>7929.14</v>
      </c>
      <c r="I251" s="10">
        <v>0.1</v>
      </c>
      <c r="J251" s="7">
        <v>28544.9</v>
      </c>
      <c r="K251" t="s">
        <v>50</v>
      </c>
    </row>
    <row r="252" spans="1:11" x14ac:dyDescent="0.25">
      <c r="A252" t="s">
        <v>312</v>
      </c>
      <c r="B252" s="9">
        <v>45969</v>
      </c>
      <c r="C252" t="s">
        <v>42</v>
      </c>
      <c r="D252" t="s">
        <v>20</v>
      </c>
      <c r="E252" t="s">
        <v>70</v>
      </c>
      <c r="F252" t="s">
        <v>16</v>
      </c>
      <c r="G252">
        <v>1</v>
      </c>
      <c r="H252" s="7">
        <v>50858.75</v>
      </c>
      <c r="I252" s="10">
        <v>0</v>
      </c>
      <c r="J252" s="7">
        <v>50858.75</v>
      </c>
      <c r="K252" t="s">
        <v>50</v>
      </c>
    </row>
    <row r="253" spans="1:11" x14ac:dyDescent="0.25">
      <c r="A253" t="s">
        <v>313</v>
      </c>
      <c r="B253" s="9">
        <v>45970</v>
      </c>
      <c r="C253" t="s">
        <v>59</v>
      </c>
      <c r="D253" t="s">
        <v>14</v>
      </c>
      <c r="E253" t="s">
        <v>52</v>
      </c>
      <c r="F253" t="s">
        <v>16</v>
      </c>
      <c r="G253">
        <v>6</v>
      </c>
      <c r="H253" s="7">
        <v>1940.71</v>
      </c>
      <c r="I253" s="10">
        <v>0</v>
      </c>
      <c r="J253" s="7">
        <v>11644.26</v>
      </c>
      <c r="K253" t="s">
        <v>44</v>
      </c>
    </row>
    <row r="254" spans="1:11" x14ac:dyDescent="0.25">
      <c r="A254" t="s">
        <v>314</v>
      </c>
      <c r="B254" s="9">
        <v>45970</v>
      </c>
      <c r="C254" t="s">
        <v>54</v>
      </c>
      <c r="D254" t="s">
        <v>23</v>
      </c>
      <c r="E254" t="s">
        <v>46</v>
      </c>
      <c r="F254" t="s">
        <v>13</v>
      </c>
      <c r="G254">
        <v>4</v>
      </c>
      <c r="H254" s="7">
        <v>549.38</v>
      </c>
      <c r="I254" s="10">
        <v>0</v>
      </c>
      <c r="J254" s="7">
        <v>2197.52</v>
      </c>
      <c r="K254" t="s">
        <v>47</v>
      </c>
    </row>
    <row r="255" spans="1:11" x14ac:dyDescent="0.25">
      <c r="A255" t="s">
        <v>315</v>
      </c>
      <c r="B255" s="9">
        <v>45970</v>
      </c>
      <c r="C255" t="s">
        <v>81</v>
      </c>
      <c r="D255" t="s">
        <v>17</v>
      </c>
      <c r="E255" t="s">
        <v>68</v>
      </c>
      <c r="F255" t="s">
        <v>13</v>
      </c>
      <c r="G255">
        <v>2</v>
      </c>
      <c r="H255" s="7">
        <v>656.41</v>
      </c>
      <c r="I255" s="10">
        <v>0.1</v>
      </c>
      <c r="J255" s="7">
        <v>1181.54</v>
      </c>
      <c r="K255" t="s">
        <v>47</v>
      </c>
    </row>
    <row r="256" spans="1:11" x14ac:dyDescent="0.25">
      <c r="A256" t="s">
        <v>316</v>
      </c>
      <c r="B256" s="9">
        <v>45971</v>
      </c>
      <c r="C256" t="s">
        <v>59</v>
      </c>
      <c r="D256" t="s">
        <v>17</v>
      </c>
      <c r="E256" t="s">
        <v>62</v>
      </c>
      <c r="F256" t="s">
        <v>13</v>
      </c>
      <c r="G256">
        <v>2</v>
      </c>
      <c r="H256" s="7">
        <v>1149.53</v>
      </c>
      <c r="I256" s="10">
        <v>0</v>
      </c>
      <c r="J256" s="7">
        <v>2299.06</v>
      </c>
      <c r="K256" t="s">
        <v>44</v>
      </c>
    </row>
    <row r="257" spans="1:11" x14ac:dyDescent="0.25">
      <c r="A257" t="s">
        <v>317</v>
      </c>
      <c r="B257" s="9">
        <v>45972</v>
      </c>
      <c r="C257" t="s">
        <v>59</v>
      </c>
      <c r="D257" t="s">
        <v>23</v>
      </c>
      <c r="E257" t="s">
        <v>68</v>
      </c>
      <c r="F257" t="s">
        <v>13</v>
      </c>
      <c r="G257">
        <v>2</v>
      </c>
      <c r="H257" s="7">
        <v>609.87</v>
      </c>
      <c r="I257" s="10">
        <v>0</v>
      </c>
      <c r="J257" s="7">
        <v>1219.74</v>
      </c>
      <c r="K257" t="s">
        <v>50</v>
      </c>
    </row>
    <row r="258" spans="1:11" x14ac:dyDescent="0.25">
      <c r="A258" t="s">
        <v>318</v>
      </c>
      <c r="B258" s="9">
        <v>45973</v>
      </c>
      <c r="C258" t="s">
        <v>72</v>
      </c>
      <c r="D258" t="s">
        <v>14</v>
      </c>
      <c r="E258" t="s">
        <v>57</v>
      </c>
      <c r="F258" t="s">
        <v>16</v>
      </c>
      <c r="G258">
        <v>7</v>
      </c>
      <c r="H258" s="7">
        <v>13124.6</v>
      </c>
      <c r="I258" s="10">
        <v>0.05</v>
      </c>
      <c r="J258" s="7">
        <v>87278.59</v>
      </c>
      <c r="K258" t="s">
        <v>47</v>
      </c>
    </row>
    <row r="259" spans="1:11" x14ac:dyDescent="0.25">
      <c r="A259" t="s">
        <v>319</v>
      </c>
      <c r="B259" s="9">
        <v>45976</v>
      </c>
      <c r="C259" t="s">
        <v>56</v>
      </c>
      <c r="D259" t="s">
        <v>20</v>
      </c>
      <c r="E259" t="s">
        <v>46</v>
      </c>
      <c r="F259" t="s">
        <v>13</v>
      </c>
      <c r="G259">
        <v>3</v>
      </c>
      <c r="H259" s="7">
        <v>513.65</v>
      </c>
      <c r="I259" s="10">
        <v>0</v>
      </c>
      <c r="J259" s="7">
        <v>1540.95</v>
      </c>
      <c r="K259" t="s">
        <v>50</v>
      </c>
    </row>
    <row r="260" spans="1:11" x14ac:dyDescent="0.25">
      <c r="A260" t="s">
        <v>320</v>
      </c>
      <c r="B260" s="9">
        <v>45977</v>
      </c>
      <c r="C260" t="s">
        <v>56</v>
      </c>
      <c r="D260" t="s">
        <v>23</v>
      </c>
      <c r="E260" t="s">
        <v>75</v>
      </c>
      <c r="F260" t="s">
        <v>22</v>
      </c>
      <c r="G260">
        <v>3</v>
      </c>
      <c r="H260" s="7">
        <v>161.61000000000001</v>
      </c>
      <c r="I260" s="10">
        <v>0.15</v>
      </c>
      <c r="J260" s="7">
        <v>412.11</v>
      </c>
      <c r="K260" t="s">
        <v>50</v>
      </c>
    </row>
    <row r="261" spans="1:11" x14ac:dyDescent="0.25">
      <c r="A261" t="s">
        <v>321</v>
      </c>
      <c r="B261" s="9">
        <v>45978</v>
      </c>
      <c r="C261" t="s">
        <v>49</v>
      </c>
      <c r="D261" t="s">
        <v>17</v>
      </c>
      <c r="E261" t="s">
        <v>62</v>
      </c>
      <c r="F261" t="s">
        <v>13</v>
      </c>
      <c r="G261">
        <v>1</v>
      </c>
      <c r="H261" s="7">
        <v>1206.0999999999999</v>
      </c>
      <c r="I261" s="10">
        <v>0</v>
      </c>
      <c r="J261" s="7">
        <v>1206.0999999999999</v>
      </c>
      <c r="K261" t="s">
        <v>50</v>
      </c>
    </row>
    <row r="262" spans="1:11" x14ac:dyDescent="0.25">
      <c r="A262" t="s">
        <v>322</v>
      </c>
      <c r="B262" s="9">
        <v>45979</v>
      </c>
      <c r="C262" t="s">
        <v>42</v>
      </c>
      <c r="D262" t="s">
        <v>20</v>
      </c>
      <c r="E262" t="s">
        <v>46</v>
      </c>
      <c r="F262" t="s">
        <v>13</v>
      </c>
      <c r="G262">
        <v>8</v>
      </c>
      <c r="H262" s="7">
        <v>556.76</v>
      </c>
      <c r="I262" s="10">
        <v>0.1</v>
      </c>
      <c r="J262" s="7">
        <v>4008.67</v>
      </c>
      <c r="K262" t="s">
        <v>50</v>
      </c>
    </row>
    <row r="263" spans="1:11" x14ac:dyDescent="0.25">
      <c r="A263" t="s">
        <v>323</v>
      </c>
      <c r="B263" s="9">
        <v>45986</v>
      </c>
      <c r="C263" t="s">
        <v>54</v>
      </c>
      <c r="D263" t="s">
        <v>14</v>
      </c>
      <c r="E263" t="s">
        <v>68</v>
      </c>
      <c r="F263" t="s">
        <v>13</v>
      </c>
      <c r="G263">
        <v>6</v>
      </c>
      <c r="H263" s="7">
        <v>663.8</v>
      </c>
      <c r="I263" s="10">
        <v>0.05</v>
      </c>
      <c r="J263" s="7">
        <v>3783.66</v>
      </c>
      <c r="K263" t="s">
        <v>44</v>
      </c>
    </row>
    <row r="264" spans="1:11" x14ac:dyDescent="0.25">
      <c r="A264" t="s">
        <v>324</v>
      </c>
      <c r="B264" s="9">
        <v>45987</v>
      </c>
      <c r="C264" t="s">
        <v>54</v>
      </c>
      <c r="D264" t="s">
        <v>20</v>
      </c>
      <c r="E264" t="s">
        <v>70</v>
      </c>
      <c r="F264" t="s">
        <v>16</v>
      </c>
      <c r="G264">
        <v>8</v>
      </c>
      <c r="H264" s="7">
        <v>49868.18</v>
      </c>
      <c r="I264" s="10">
        <v>0.15</v>
      </c>
      <c r="J264" s="7">
        <v>339103.62</v>
      </c>
      <c r="K264" t="s">
        <v>50</v>
      </c>
    </row>
    <row r="265" spans="1:11" x14ac:dyDescent="0.25">
      <c r="A265" t="s">
        <v>325</v>
      </c>
      <c r="B265" s="9">
        <v>45987</v>
      </c>
      <c r="C265" t="s">
        <v>56</v>
      </c>
      <c r="D265" t="s">
        <v>20</v>
      </c>
      <c r="E265" t="s">
        <v>62</v>
      </c>
      <c r="F265" t="s">
        <v>13</v>
      </c>
      <c r="G265">
        <v>7</v>
      </c>
      <c r="H265" s="7">
        <v>1143.8699999999999</v>
      </c>
      <c r="I265" s="10">
        <v>0</v>
      </c>
      <c r="J265" s="7">
        <v>8007.09</v>
      </c>
      <c r="K265" t="s">
        <v>47</v>
      </c>
    </row>
    <row r="266" spans="1:11" x14ac:dyDescent="0.25">
      <c r="A266" t="s">
        <v>326</v>
      </c>
      <c r="B266" s="9">
        <v>45989</v>
      </c>
      <c r="C266" t="s">
        <v>59</v>
      </c>
      <c r="D266" t="s">
        <v>23</v>
      </c>
      <c r="E266" t="s">
        <v>92</v>
      </c>
      <c r="F266" t="s">
        <v>22</v>
      </c>
      <c r="G266">
        <v>7</v>
      </c>
      <c r="H266" s="7">
        <v>95.71</v>
      </c>
      <c r="I266" s="10">
        <v>0.05</v>
      </c>
      <c r="J266" s="7">
        <v>636.47</v>
      </c>
      <c r="K266" t="s">
        <v>47</v>
      </c>
    </row>
    <row r="267" spans="1:11" x14ac:dyDescent="0.25">
      <c r="A267" t="s">
        <v>327</v>
      </c>
      <c r="B267" s="9">
        <v>45991</v>
      </c>
      <c r="C267" t="s">
        <v>56</v>
      </c>
      <c r="D267" t="s">
        <v>14</v>
      </c>
      <c r="E267" t="s">
        <v>62</v>
      </c>
      <c r="F267" t="s">
        <v>13</v>
      </c>
      <c r="G267">
        <v>7</v>
      </c>
      <c r="H267" s="7">
        <v>1295.26</v>
      </c>
      <c r="I267" s="10">
        <v>0.1</v>
      </c>
      <c r="J267" s="7">
        <v>8160.14</v>
      </c>
      <c r="K267" t="s">
        <v>47</v>
      </c>
    </row>
    <row r="268" spans="1:11" x14ac:dyDescent="0.25">
      <c r="A268" t="s">
        <v>328</v>
      </c>
      <c r="B268" s="9">
        <v>45992</v>
      </c>
      <c r="C268" t="s">
        <v>54</v>
      </c>
      <c r="D268" t="s">
        <v>20</v>
      </c>
      <c r="E268" t="s">
        <v>62</v>
      </c>
      <c r="F268" t="s">
        <v>13</v>
      </c>
      <c r="G268">
        <v>3</v>
      </c>
      <c r="H268" s="7">
        <v>1127.1500000000001</v>
      </c>
      <c r="I268" s="10">
        <v>0.1</v>
      </c>
      <c r="J268" s="7">
        <v>3043.31</v>
      </c>
      <c r="K268" t="s">
        <v>47</v>
      </c>
    </row>
    <row r="269" spans="1:11" x14ac:dyDescent="0.25">
      <c r="A269" t="s">
        <v>329</v>
      </c>
      <c r="B269" s="9">
        <v>45992</v>
      </c>
      <c r="C269" t="s">
        <v>49</v>
      </c>
      <c r="D269" t="s">
        <v>20</v>
      </c>
      <c r="E269" t="s">
        <v>68</v>
      </c>
      <c r="F269" t="s">
        <v>13</v>
      </c>
      <c r="G269">
        <v>7</v>
      </c>
      <c r="H269" s="7">
        <v>687.7</v>
      </c>
      <c r="I269" s="10">
        <v>0.05</v>
      </c>
      <c r="J269" s="7">
        <v>4573.2</v>
      </c>
      <c r="K269" t="s">
        <v>44</v>
      </c>
    </row>
    <row r="270" spans="1:11" x14ac:dyDescent="0.25">
      <c r="A270" t="s">
        <v>330</v>
      </c>
      <c r="B270" s="9">
        <v>45994</v>
      </c>
      <c r="C270" t="s">
        <v>49</v>
      </c>
      <c r="D270" t="s">
        <v>20</v>
      </c>
      <c r="E270" t="s">
        <v>46</v>
      </c>
      <c r="F270" t="s">
        <v>13</v>
      </c>
      <c r="G270">
        <v>4</v>
      </c>
      <c r="H270" s="7">
        <v>585.88</v>
      </c>
      <c r="I270" s="10">
        <v>0</v>
      </c>
      <c r="J270" s="7">
        <v>2343.52</v>
      </c>
      <c r="K270" t="s">
        <v>47</v>
      </c>
    </row>
    <row r="271" spans="1:11" x14ac:dyDescent="0.25">
      <c r="A271" t="s">
        <v>331</v>
      </c>
      <c r="B271" s="9">
        <v>45995</v>
      </c>
      <c r="C271" t="s">
        <v>59</v>
      </c>
      <c r="D271" t="s">
        <v>20</v>
      </c>
      <c r="E271" t="s">
        <v>43</v>
      </c>
      <c r="F271" t="s">
        <v>19</v>
      </c>
      <c r="G271">
        <v>1</v>
      </c>
      <c r="H271" s="7">
        <v>7322.48</v>
      </c>
      <c r="I271" s="10">
        <v>0.05</v>
      </c>
      <c r="J271" s="7">
        <v>6956.36</v>
      </c>
      <c r="K271" t="s">
        <v>44</v>
      </c>
    </row>
    <row r="272" spans="1:11" x14ac:dyDescent="0.25">
      <c r="A272" t="s">
        <v>332</v>
      </c>
      <c r="B272" s="9">
        <v>45995</v>
      </c>
      <c r="C272" t="s">
        <v>84</v>
      </c>
      <c r="D272" t="s">
        <v>14</v>
      </c>
      <c r="E272" t="s">
        <v>62</v>
      </c>
      <c r="F272" t="s">
        <v>13</v>
      </c>
      <c r="G272">
        <v>2</v>
      </c>
      <c r="H272" s="7">
        <v>1174.02</v>
      </c>
      <c r="I272" s="10">
        <v>0.15</v>
      </c>
      <c r="J272" s="7">
        <v>1995.83</v>
      </c>
      <c r="K272" t="s">
        <v>47</v>
      </c>
    </row>
    <row r="273" spans="1:11" x14ac:dyDescent="0.25">
      <c r="A273" t="s">
        <v>333</v>
      </c>
      <c r="B273" s="9">
        <v>45997</v>
      </c>
      <c r="C273" t="s">
        <v>49</v>
      </c>
      <c r="D273" t="s">
        <v>17</v>
      </c>
      <c r="E273" t="s">
        <v>75</v>
      </c>
      <c r="F273" t="s">
        <v>22</v>
      </c>
      <c r="G273">
        <v>3</v>
      </c>
      <c r="H273" s="7">
        <v>160.94999999999999</v>
      </c>
      <c r="I273" s="10">
        <v>0.15</v>
      </c>
      <c r="J273" s="7">
        <v>410.42</v>
      </c>
      <c r="K273" t="s">
        <v>47</v>
      </c>
    </row>
    <row r="274" spans="1:11" x14ac:dyDescent="0.25">
      <c r="A274" t="s">
        <v>334</v>
      </c>
      <c r="B274" s="9">
        <v>45999</v>
      </c>
      <c r="C274" t="s">
        <v>49</v>
      </c>
      <c r="D274" t="s">
        <v>20</v>
      </c>
      <c r="E274" t="s">
        <v>92</v>
      </c>
      <c r="F274" t="s">
        <v>22</v>
      </c>
      <c r="G274">
        <v>2</v>
      </c>
      <c r="H274" s="7">
        <v>86.71</v>
      </c>
      <c r="I274" s="10">
        <v>0</v>
      </c>
      <c r="J274" s="7">
        <v>173.42</v>
      </c>
      <c r="K274" t="s">
        <v>44</v>
      </c>
    </row>
    <row r="275" spans="1:11" x14ac:dyDescent="0.25">
      <c r="A275" t="s">
        <v>335</v>
      </c>
      <c r="B275" s="9">
        <v>46001</v>
      </c>
      <c r="C275" t="s">
        <v>59</v>
      </c>
      <c r="D275" t="s">
        <v>17</v>
      </c>
      <c r="E275" t="s">
        <v>57</v>
      </c>
      <c r="F275" t="s">
        <v>16</v>
      </c>
      <c r="G275">
        <v>4</v>
      </c>
      <c r="H275" s="7">
        <v>13360.96</v>
      </c>
      <c r="I275" s="10">
        <v>0.1</v>
      </c>
      <c r="J275" s="7">
        <v>48099.46</v>
      </c>
      <c r="K275" t="s">
        <v>50</v>
      </c>
    </row>
    <row r="276" spans="1:11" x14ac:dyDescent="0.25">
      <c r="A276" t="s">
        <v>336</v>
      </c>
      <c r="B276" s="9">
        <v>46001</v>
      </c>
      <c r="C276" t="s">
        <v>42</v>
      </c>
      <c r="D276" t="s">
        <v>14</v>
      </c>
      <c r="E276" t="s">
        <v>62</v>
      </c>
      <c r="F276" t="s">
        <v>13</v>
      </c>
      <c r="G276">
        <v>3</v>
      </c>
      <c r="H276" s="7">
        <v>1200.43</v>
      </c>
      <c r="I276" s="10">
        <v>0.05</v>
      </c>
      <c r="J276" s="7">
        <v>3421.23</v>
      </c>
      <c r="K276" t="s">
        <v>50</v>
      </c>
    </row>
    <row r="277" spans="1:11" x14ac:dyDescent="0.25">
      <c r="A277" t="s">
        <v>337</v>
      </c>
      <c r="B277" s="9">
        <v>46002</v>
      </c>
      <c r="C277" t="s">
        <v>59</v>
      </c>
      <c r="D277" t="s">
        <v>23</v>
      </c>
      <c r="E277" t="s">
        <v>65</v>
      </c>
      <c r="F277" t="s">
        <v>19</v>
      </c>
      <c r="G277">
        <v>3</v>
      </c>
      <c r="H277" s="7">
        <v>9581.02</v>
      </c>
      <c r="I277" s="10">
        <v>0.15</v>
      </c>
      <c r="J277" s="7">
        <v>24431.599999999999</v>
      </c>
      <c r="K277" t="s">
        <v>47</v>
      </c>
    </row>
    <row r="278" spans="1:11" x14ac:dyDescent="0.25">
      <c r="A278" t="s">
        <v>338</v>
      </c>
      <c r="B278" s="9">
        <v>46004</v>
      </c>
      <c r="C278" t="s">
        <v>84</v>
      </c>
      <c r="D278" t="s">
        <v>20</v>
      </c>
      <c r="E278" t="s">
        <v>70</v>
      </c>
      <c r="F278" t="s">
        <v>16</v>
      </c>
      <c r="G278">
        <v>2</v>
      </c>
      <c r="H278" s="7">
        <v>52095.61</v>
      </c>
      <c r="I278" s="10">
        <v>0.1</v>
      </c>
      <c r="J278" s="7">
        <v>93772.1</v>
      </c>
      <c r="K278" t="s">
        <v>47</v>
      </c>
    </row>
    <row r="279" spans="1:11" x14ac:dyDescent="0.25">
      <c r="A279" t="s">
        <v>339</v>
      </c>
      <c r="B279" s="9">
        <v>46007</v>
      </c>
      <c r="C279" t="s">
        <v>56</v>
      </c>
      <c r="D279" t="s">
        <v>20</v>
      </c>
      <c r="E279" t="s">
        <v>62</v>
      </c>
      <c r="F279" t="s">
        <v>13</v>
      </c>
      <c r="G279">
        <v>6</v>
      </c>
      <c r="H279" s="7">
        <v>1151.0999999999999</v>
      </c>
      <c r="I279" s="10">
        <v>0.15</v>
      </c>
      <c r="J279" s="7">
        <v>5870.61</v>
      </c>
      <c r="K279" t="s">
        <v>44</v>
      </c>
    </row>
    <row r="280" spans="1:11" x14ac:dyDescent="0.25">
      <c r="A280" t="s">
        <v>340</v>
      </c>
      <c r="B280" s="9">
        <v>46007</v>
      </c>
      <c r="C280" t="s">
        <v>42</v>
      </c>
      <c r="D280" t="s">
        <v>20</v>
      </c>
      <c r="E280" t="s">
        <v>68</v>
      </c>
      <c r="F280" t="s">
        <v>13</v>
      </c>
      <c r="G280">
        <v>8</v>
      </c>
      <c r="H280" s="7">
        <v>691.9</v>
      </c>
      <c r="I280" s="10">
        <v>0.05</v>
      </c>
      <c r="J280" s="7">
        <v>5258.44</v>
      </c>
      <c r="K280" t="s">
        <v>44</v>
      </c>
    </row>
    <row r="281" spans="1:11" x14ac:dyDescent="0.25">
      <c r="A281" t="s">
        <v>341</v>
      </c>
      <c r="B281" s="9">
        <v>46007</v>
      </c>
      <c r="C281" t="s">
        <v>42</v>
      </c>
      <c r="D281" t="s">
        <v>20</v>
      </c>
      <c r="E281" t="s">
        <v>62</v>
      </c>
      <c r="F281" t="s">
        <v>13</v>
      </c>
      <c r="G281">
        <v>5</v>
      </c>
      <c r="H281" s="7">
        <v>1132.1199999999999</v>
      </c>
      <c r="I281" s="10">
        <v>0.05</v>
      </c>
      <c r="J281" s="7">
        <v>5377.57</v>
      </c>
      <c r="K281" t="s">
        <v>50</v>
      </c>
    </row>
    <row r="282" spans="1:11" x14ac:dyDescent="0.25">
      <c r="A282" t="s">
        <v>342</v>
      </c>
      <c r="B282" s="9">
        <v>46009</v>
      </c>
      <c r="C282" t="s">
        <v>81</v>
      </c>
      <c r="D282" t="s">
        <v>14</v>
      </c>
      <c r="E282" t="s">
        <v>92</v>
      </c>
      <c r="F282" t="s">
        <v>22</v>
      </c>
      <c r="G282">
        <v>2</v>
      </c>
      <c r="H282" s="7">
        <v>89.47</v>
      </c>
      <c r="I282" s="10">
        <v>0.1</v>
      </c>
      <c r="J282" s="7">
        <v>161.05000000000001</v>
      </c>
      <c r="K282" t="s">
        <v>44</v>
      </c>
    </row>
    <row r="283" spans="1:11" x14ac:dyDescent="0.25">
      <c r="A283" t="s">
        <v>343</v>
      </c>
      <c r="B283" s="9">
        <v>46010</v>
      </c>
      <c r="C283" t="s">
        <v>49</v>
      </c>
      <c r="D283" t="s">
        <v>17</v>
      </c>
      <c r="E283" t="s">
        <v>75</v>
      </c>
      <c r="F283" t="s">
        <v>22</v>
      </c>
      <c r="G283">
        <v>5</v>
      </c>
      <c r="H283" s="7">
        <v>146.94</v>
      </c>
      <c r="I283" s="10">
        <v>0.05</v>
      </c>
      <c r="J283" s="7">
        <v>697.97</v>
      </c>
      <c r="K283" t="s">
        <v>44</v>
      </c>
    </row>
    <row r="284" spans="1:11" x14ac:dyDescent="0.25">
      <c r="A284" t="s">
        <v>344</v>
      </c>
      <c r="B284" s="9">
        <v>46010</v>
      </c>
      <c r="C284" t="s">
        <v>72</v>
      </c>
      <c r="D284" t="s">
        <v>20</v>
      </c>
      <c r="E284" t="s">
        <v>65</v>
      </c>
      <c r="F284" t="s">
        <v>19</v>
      </c>
      <c r="G284">
        <v>7</v>
      </c>
      <c r="H284" s="7">
        <v>9421.9699999999993</v>
      </c>
      <c r="I284" s="10">
        <v>0</v>
      </c>
      <c r="J284" s="7">
        <v>65953.789999999994</v>
      </c>
      <c r="K284" t="s">
        <v>44</v>
      </c>
    </row>
    <row r="285" spans="1:11" x14ac:dyDescent="0.25">
      <c r="A285" t="s">
        <v>345</v>
      </c>
      <c r="B285" s="9">
        <v>46010</v>
      </c>
      <c r="C285" t="s">
        <v>56</v>
      </c>
      <c r="D285" t="s">
        <v>17</v>
      </c>
      <c r="E285" t="s">
        <v>75</v>
      </c>
      <c r="F285" t="s">
        <v>22</v>
      </c>
      <c r="G285">
        <v>2</v>
      </c>
      <c r="H285" s="7">
        <v>139.28</v>
      </c>
      <c r="I285" s="10">
        <v>0</v>
      </c>
      <c r="J285" s="7">
        <v>278.56</v>
      </c>
      <c r="K285" t="s">
        <v>47</v>
      </c>
    </row>
    <row r="286" spans="1:11" x14ac:dyDescent="0.25">
      <c r="A286" t="s">
        <v>346</v>
      </c>
      <c r="B286" s="9">
        <v>46011</v>
      </c>
      <c r="C286" t="s">
        <v>84</v>
      </c>
      <c r="D286" t="s">
        <v>23</v>
      </c>
      <c r="E286" t="s">
        <v>62</v>
      </c>
      <c r="F286" t="s">
        <v>13</v>
      </c>
      <c r="G286">
        <v>1</v>
      </c>
      <c r="H286" s="7">
        <v>1130.2</v>
      </c>
      <c r="I286" s="10">
        <v>0</v>
      </c>
      <c r="J286" s="7">
        <v>1130.2</v>
      </c>
      <c r="K286" t="s">
        <v>50</v>
      </c>
    </row>
    <row r="287" spans="1:11" x14ac:dyDescent="0.25">
      <c r="A287" t="s">
        <v>347</v>
      </c>
      <c r="B287" s="9">
        <v>46013</v>
      </c>
      <c r="C287" t="s">
        <v>59</v>
      </c>
      <c r="D287" t="s">
        <v>20</v>
      </c>
      <c r="E287" t="s">
        <v>52</v>
      </c>
      <c r="F287" t="s">
        <v>16</v>
      </c>
      <c r="G287">
        <v>4</v>
      </c>
      <c r="H287" s="7">
        <v>1701.42</v>
      </c>
      <c r="I287" s="10">
        <v>0.15</v>
      </c>
      <c r="J287" s="7">
        <v>5784.83</v>
      </c>
      <c r="K287" t="s">
        <v>50</v>
      </c>
    </row>
    <row r="288" spans="1:11" x14ac:dyDescent="0.25">
      <c r="A288" t="s">
        <v>348</v>
      </c>
      <c r="B288" s="9">
        <v>46013</v>
      </c>
      <c r="C288" t="s">
        <v>49</v>
      </c>
      <c r="D288" t="s">
        <v>23</v>
      </c>
      <c r="E288" t="s">
        <v>62</v>
      </c>
      <c r="F288" t="s">
        <v>13</v>
      </c>
      <c r="G288">
        <v>8</v>
      </c>
      <c r="H288" s="7">
        <v>1157.79</v>
      </c>
      <c r="I288" s="10">
        <v>0</v>
      </c>
      <c r="J288" s="7">
        <v>9262.32</v>
      </c>
      <c r="K288" t="s">
        <v>47</v>
      </c>
    </row>
    <row r="289" spans="1:11" x14ac:dyDescent="0.25">
      <c r="A289" t="s">
        <v>349</v>
      </c>
      <c r="B289" s="9">
        <v>46015</v>
      </c>
      <c r="C289" t="s">
        <v>81</v>
      </c>
      <c r="D289" t="s">
        <v>20</v>
      </c>
      <c r="E289" t="s">
        <v>46</v>
      </c>
      <c r="F289" t="s">
        <v>13</v>
      </c>
      <c r="G289">
        <v>7</v>
      </c>
      <c r="H289" s="7">
        <v>537.64</v>
      </c>
      <c r="I289" s="10">
        <v>0.1</v>
      </c>
      <c r="J289" s="7">
        <v>3387.13</v>
      </c>
      <c r="K289" t="s">
        <v>47</v>
      </c>
    </row>
    <row r="290" spans="1:11" x14ac:dyDescent="0.25">
      <c r="A290" t="s">
        <v>350</v>
      </c>
      <c r="B290" s="9">
        <v>46016</v>
      </c>
      <c r="C290" t="s">
        <v>72</v>
      </c>
      <c r="D290" t="s">
        <v>20</v>
      </c>
      <c r="E290" t="s">
        <v>65</v>
      </c>
      <c r="F290" t="s">
        <v>19</v>
      </c>
      <c r="G290">
        <v>3</v>
      </c>
      <c r="H290" s="7">
        <v>9623.41</v>
      </c>
      <c r="I290" s="10">
        <v>0.05</v>
      </c>
      <c r="J290" s="7">
        <v>27426.720000000001</v>
      </c>
      <c r="K290" t="s">
        <v>47</v>
      </c>
    </row>
    <row r="291" spans="1:11" x14ac:dyDescent="0.25">
      <c r="A291" t="s">
        <v>351</v>
      </c>
      <c r="B291" s="9">
        <v>46016</v>
      </c>
      <c r="C291" t="s">
        <v>84</v>
      </c>
      <c r="D291" t="s">
        <v>23</v>
      </c>
      <c r="E291" t="s">
        <v>52</v>
      </c>
      <c r="F291" t="s">
        <v>16</v>
      </c>
      <c r="G291">
        <v>2</v>
      </c>
      <c r="H291" s="7">
        <v>1815.16</v>
      </c>
      <c r="I291" s="10">
        <v>0.05</v>
      </c>
      <c r="J291" s="7">
        <v>3448.8</v>
      </c>
      <c r="K291" t="s">
        <v>44</v>
      </c>
    </row>
    <row r="292" spans="1:11" x14ac:dyDescent="0.25">
      <c r="A292" t="s">
        <v>352</v>
      </c>
      <c r="B292" s="9">
        <v>46016</v>
      </c>
      <c r="C292" t="s">
        <v>59</v>
      </c>
      <c r="D292" t="s">
        <v>20</v>
      </c>
      <c r="E292" t="s">
        <v>43</v>
      </c>
      <c r="F292" t="s">
        <v>19</v>
      </c>
      <c r="G292">
        <v>2</v>
      </c>
      <c r="H292" s="7">
        <v>7863.01</v>
      </c>
      <c r="I292" s="10">
        <v>0.05</v>
      </c>
      <c r="J292" s="7">
        <v>14939.72</v>
      </c>
      <c r="K292" t="s">
        <v>47</v>
      </c>
    </row>
    <row r="293" spans="1:11" x14ac:dyDescent="0.25">
      <c r="A293" t="s">
        <v>353</v>
      </c>
      <c r="B293" s="9">
        <v>46016</v>
      </c>
      <c r="C293" t="s">
        <v>49</v>
      </c>
      <c r="D293" t="s">
        <v>20</v>
      </c>
      <c r="E293" t="s">
        <v>43</v>
      </c>
      <c r="F293" t="s">
        <v>19</v>
      </c>
      <c r="G293">
        <v>6</v>
      </c>
      <c r="H293" s="7">
        <v>8143.82</v>
      </c>
      <c r="I293" s="10">
        <v>0.05</v>
      </c>
      <c r="J293" s="7">
        <v>46419.77</v>
      </c>
      <c r="K293" t="s">
        <v>44</v>
      </c>
    </row>
    <row r="294" spans="1:11" x14ac:dyDescent="0.25">
      <c r="A294" t="s">
        <v>354</v>
      </c>
      <c r="B294" s="9">
        <v>46017</v>
      </c>
      <c r="C294" t="s">
        <v>72</v>
      </c>
      <c r="D294" t="s">
        <v>23</v>
      </c>
      <c r="E294" t="s">
        <v>92</v>
      </c>
      <c r="F294" t="s">
        <v>22</v>
      </c>
      <c r="G294">
        <v>5</v>
      </c>
      <c r="H294" s="7">
        <v>89.2</v>
      </c>
      <c r="I294" s="10">
        <v>0.05</v>
      </c>
      <c r="J294" s="7">
        <v>423.7</v>
      </c>
      <c r="K294" t="s">
        <v>44</v>
      </c>
    </row>
    <row r="295" spans="1:11" x14ac:dyDescent="0.25">
      <c r="A295" t="s">
        <v>355</v>
      </c>
      <c r="B295" s="9">
        <v>46017</v>
      </c>
      <c r="C295" t="s">
        <v>42</v>
      </c>
      <c r="D295" t="s">
        <v>20</v>
      </c>
      <c r="E295" t="s">
        <v>92</v>
      </c>
      <c r="F295" t="s">
        <v>22</v>
      </c>
      <c r="G295">
        <v>4</v>
      </c>
      <c r="H295" s="7">
        <v>86.21</v>
      </c>
      <c r="I295" s="10">
        <v>0</v>
      </c>
      <c r="J295" s="7">
        <v>344.84</v>
      </c>
      <c r="K295" t="s">
        <v>47</v>
      </c>
    </row>
    <row r="296" spans="1:11" x14ac:dyDescent="0.25">
      <c r="A296" t="s">
        <v>356</v>
      </c>
      <c r="B296" s="9">
        <v>46017</v>
      </c>
      <c r="C296" t="s">
        <v>59</v>
      </c>
      <c r="D296" t="s">
        <v>17</v>
      </c>
      <c r="E296" t="s">
        <v>52</v>
      </c>
      <c r="F296" t="s">
        <v>16</v>
      </c>
      <c r="G296">
        <v>5</v>
      </c>
      <c r="H296" s="7">
        <v>1884.43</v>
      </c>
      <c r="I296" s="10">
        <v>0.15</v>
      </c>
      <c r="J296" s="7">
        <v>8008.83</v>
      </c>
      <c r="K296" t="s">
        <v>47</v>
      </c>
    </row>
    <row r="297" spans="1:11" x14ac:dyDescent="0.25">
      <c r="A297" t="s">
        <v>357</v>
      </c>
      <c r="B297" s="9">
        <v>46017</v>
      </c>
      <c r="C297" t="s">
        <v>59</v>
      </c>
      <c r="D297" t="s">
        <v>14</v>
      </c>
      <c r="E297" t="s">
        <v>65</v>
      </c>
      <c r="F297" t="s">
        <v>19</v>
      </c>
      <c r="G297">
        <v>7</v>
      </c>
      <c r="H297" s="7">
        <v>9192.56</v>
      </c>
      <c r="I297" s="10">
        <v>0</v>
      </c>
      <c r="J297" s="7">
        <v>64347.92</v>
      </c>
      <c r="K297" t="s">
        <v>50</v>
      </c>
    </row>
    <row r="298" spans="1:11" x14ac:dyDescent="0.25">
      <c r="A298" t="s">
        <v>358</v>
      </c>
      <c r="B298" s="9">
        <v>46021</v>
      </c>
      <c r="C298" t="s">
        <v>59</v>
      </c>
      <c r="D298" t="s">
        <v>17</v>
      </c>
      <c r="E298" t="s">
        <v>68</v>
      </c>
      <c r="F298" t="s">
        <v>13</v>
      </c>
      <c r="G298">
        <v>3</v>
      </c>
      <c r="H298" s="7">
        <v>627.42999999999995</v>
      </c>
      <c r="I298" s="10">
        <v>0</v>
      </c>
      <c r="J298" s="7">
        <v>1882.29</v>
      </c>
      <c r="K298" t="s">
        <v>44</v>
      </c>
    </row>
    <row r="299" spans="1:11" x14ac:dyDescent="0.25">
      <c r="A299" t="s">
        <v>359</v>
      </c>
      <c r="B299" s="9">
        <v>46022</v>
      </c>
      <c r="C299" t="s">
        <v>59</v>
      </c>
      <c r="D299" t="s">
        <v>17</v>
      </c>
      <c r="E299" t="s">
        <v>62</v>
      </c>
      <c r="F299" t="s">
        <v>13</v>
      </c>
      <c r="G299">
        <v>2</v>
      </c>
      <c r="H299" s="7">
        <v>1242.0899999999999</v>
      </c>
      <c r="I299" s="10">
        <v>0.1</v>
      </c>
      <c r="J299" s="7">
        <v>2235.7600000000002</v>
      </c>
      <c r="K299" t="s">
        <v>50</v>
      </c>
    </row>
    <row r="300" spans="1:11" x14ac:dyDescent="0.25">
      <c r="A300" t="s">
        <v>360</v>
      </c>
      <c r="B300" s="9">
        <v>46022</v>
      </c>
      <c r="C300" t="s">
        <v>81</v>
      </c>
      <c r="D300" t="s">
        <v>17</v>
      </c>
      <c r="E300" t="s">
        <v>92</v>
      </c>
      <c r="F300" t="s">
        <v>22</v>
      </c>
      <c r="G300">
        <v>6</v>
      </c>
      <c r="H300" s="7">
        <v>86.51</v>
      </c>
      <c r="I300" s="10">
        <v>0</v>
      </c>
      <c r="J300" s="7">
        <v>519.05999999999995</v>
      </c>
      <c r="K300" t="s">
        <v>50</v>
      </c>
    </row>
    <row r="301" spans="1:11" x14ac:dyDescent="0.25">
      <c r="A301" t="s">
        <v>361</v>
      </c>
      <c r="B301" s="9">
        <v>46022</v>
      </c>
      <c r="C301" t="s">
        <v>49</v>
      </c>
      <c r="D301" t="s">
        <v>14</v>
      </c>
      <c r="E301" t="s">
        <v>65</v>
      </c>
      <c r="F301" t="s">
        <v>19</v>
      </c>
      <c r="G301">
        <v>2</v>
      </c>
      <c r="H301" s="7">
        <v>9160.99</v>
      </c>
      <c r="I301" s="10">
        <v>0</v>
      </c>
      <c r="J301" s="7">
        <v>18321.98</v>
      </c>
      <c r="K301" t="s">
        <v>50</v>
      </c>
    </row>
  </sheetData>
  <autoFilter ref="A1:K30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2026-10-12T13:08:36Z</dcterms:created>
  <dcterms:modified xsi:type="dcterms:W3CDTF">2026-10-12T14:01:05Z</dcterms:modified>
</cp:coreProperties>
</file>