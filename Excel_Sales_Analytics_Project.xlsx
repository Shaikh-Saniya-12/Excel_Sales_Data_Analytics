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 Data" sheetId="2" state="visible" r:id="rId2"/>
    <sheet xmlns:r="http://schemas.openxmlformats.org/officeDocument/2006/relationships" name="Read Me" sheetId="3" state="visible" r:id="rId3"/>
  </sheets>
  <definedNames>
    <definedName name="_xlnm._FilterDatabase" localSheetId="1" hidden="1">'Sales Data'!$A$1:$K$301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₹#,##0.0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5"/>
    </font>
    <font>
      <b val="1"/>
      <color rgb="001F4E78"/>
    </font>
    <font>
      <b val="1"/>
      <color rgb="00FFFFFF"/>
      <sz val="20"/>
    </font>
    <font>
      <i val="1"/>
      <color rgb="00666666"/>
    </font>
    <font>
      <b val="1"/>
      <color rgb="001F1F1F"/>
      <sz val="15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4472C4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1" fillId="4" borderId="0" applyAlignment="1" pivotButton="0" quotePrefix="0" xfId="0">
      <alignment horizontal="center"/>
    </xf>
    <xf numFmtId="166" fontId="6" fillId="5" borderId="0" applyAlignment="1" pivotButton="0" quotePrefix="0" xfId="0">
      <alignment horizontal="center"/>
    </xf>
    <xf numFmtId="3" fontId="6" fillId="5" borderId="0" applyAlignment="1" pivotButton="0" quotePrefix="0" xfId="0">
      <alignment horizontal="center"/>
    </xf>
    <xf numFmtId="0" fontId="1" fillId="2" borderId="0" pivotButton="0" quotePrefix="0" xfId="0"/>
    <xf numFmtId="0" fontId="7" fillId="5" borderId="0" applyAlignment="1" pivotButton="0" quotePrefix="0" xfId="0">
      <alignment horizontal="center"/>
    </xf>
    <xf numFmtId="0" fontId="7" fillId="5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9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'Dashboard'!$A$10:$A$13</f>
            </numRef>
          </cat>
          <val>
            <numRef>
              <f>'Dashboard'!$B$10:$B$13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'Dashboard'!$G$10:$G$21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16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K301" headerRowCount="1">
  <autoFilter ref="A1:K301"/>
  <tableColumns count="11">
    <tableColumn id="1" name="Order ID"/>
    <tableColumn id="2" name="Order Date"/>
    <tableColumn id="3" name="City"/>
    <tableColumn id="4" name="Region"/>
    <tableColumn id="5" name="Product"/>
    <tableColumn id="6" name="Category"/>
    <tableColumn id="7" name="Quantity"/>
    <tableColumn id="8" name="Unit Price (₹)"/>
    <tableColumn id="9" name="Discount"/>
    <tableColumn id="10" name="Revenue (₹)"/>
    <tableColumn id="11" name="Sales Channel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18" customWidth="1" min="3" max="3"/>
    <col width="20" customWidth="1" min="4" max="4"/>
    <col width="19" customWidth="1" min="5" max="5"/>
    <col width="4" customWidth="1" min="6" max="6"/>
    <col width="18" customWidth="1" min="7" max="7"/>
    <col width="20" customWidth="1" min="8" max="8"/>
  </cols>
  <sheetData>
    <row r="1" ht="22" customHeight="1">
      <c r="A1" s="1" t="inlineStr">
        <is>
          <t>SALES ANALYTICS DASHBOARD</t>
        </is>
      </c>
    </row>
    <row r="2" ht="22" customHeight="1">
      <c r="A2" s="2" t="inlineStr">
        <is>
          <t>Practice project • Sample transactions • Year 2025</t>
        </is>
      </c>
    </row>
    <row r="3" ht="22" customHeight="1"/>
    <row r="4" ht="22" customHeight="1">
      <c r="A4" s="3" t="inlineStr">
        <is>
          <t>Total Revenue</t>
        </is>
      </c>
      <c r="C4" s="3" t="inlineStr">
        <is>
          <t>Total Orders</t>
        </is>
      </c>
      <c r="E4" s="3" t="inlineStr">
        <is>
          <t>Units Sold</t>
        </is>
      </c>
      <c r="G4" s="3" t="inlineStr">
        <is>
          <t>Avg. Revenue / Order</t>
        </is>
      </c>
    </row>
    <row r="5" ht="22" customHeight="1">
      <c r="A5" s="4">
        <f>SUM('Sales Data'!J2:J301)</f>
        <v/>
      </c>
      <c r="C5" s="5">
        <f>COUNTA('Sales Data'!A2:A301)</f>
        <v/>
      </c>
      <c r="E5" s="5">
        <f>SUM('Sales Data'!G2:G301)</f>
        <v/>
      </c>
      <c r="G5" s="4">
        <f>AVERAGE('Sales Data'!J2:J301)</f>
        <v/>
      </c>
    </row>
    <row r="6" ht="22" customHeight="1"/>
    <row r="7" ht="22" customHeight="1"/>
    <row r="8" ht="22" customHeight="1">
      <c r="A8" s="6" t="inlineStr">
        <is>
          <t>Revenue by Category</t>
        </is>
      </c>
      <c r="D8" s="6" t="inlineStr">
        <is>
          <t>Revenue by Region</t>
        </is>
      </c>
      <c r="G8" s="6" t="inlineStr">
        <is>
          <t>Monthly Revenue</t>
        </is>
      </c>
    </row>
    <row r="9" ht="22" customHeight="1">
      <c r="A9" s="7" t="inlineStr">
        <is>
          <t>Category</t>
        </is>
      </c>
      <c r="B9" s="7" t="inlineStr">
        <is>
          <t>Revenue (₹)</t>
        </is>
      </c>
      <c r="C9" s="8" t="n"/>
      <c r="D9" s="7" t="inlineStr">
        <is>
          <t>Region</t>
        </is>
      </c>
      <c r="E9" s="7" t="inlineStr">
        <is>
          <t>Revenue (₹)</t>
        </is>
      </c>
      <c r="F9" s="8" t="n"/>
      <c r="G9" s="7" t="inlineStr">
        <is>
          <t>Month</t>
        </is>
      </c>
      <c r="H9" s="7" t="inlineStr">
        <is>
          <t>Revenue (₹)</t>
        </is>
      </c>
    </row>
    <row r="10" ht="22" customHeight="1">
      <c r="A10" t="inlineStr">
        <is>
          <t>Accessories</t>
        </is>
      </c>
      <c r="B10" s="9">
        <f>SUMIF('Sales Data'!$F$2:$F$301,A10,'Sales Data'!$J$2:$J$301)</f>
        <v/>
      </c>
      <c r="D10" t="inlineStr">
        <is>
          <t>West</t>
        </is>
      </c>
      <c r="E10" s="9">
        <f>SUMIF('Sales Data'!$D$2:$D$301,D10,'Sales Data'!$J$2:$J$301)</f>
        <v/>
      </c>
      <c r="G10" t="inlineStr">
        <is>
          <t>Jan</t>
        </is>
      </c>
      <c r="H10" s="9">
        <f>SUMIFS('Sales Data'!$J$2:$J$301,'Sales Data'!$B$2:$B$301,"&gt;="&amp;DATE(2025,1,1),'Sales Data'!$B$2:$B$301,"&lt;"&amp;DATE(2025,2,1))</f>
        <v/>
      </c>
    </row>
    <row r="11" ht="22" customHeight="1">
      <c r="A11" t="inlineStr">
        <is>
          <t>Electronics</t>
        </is>
      </c>
      <c r="B11" s="9">
        <f>SUMIF('Sales Data'!$F$2:$F$301,A11,'Sales Data'!$J$2:$J$301)</f>
        <v/>
      </c>
      <c r="D11" t="inlineStr">
        <is>
          <t>North</t>
        </is>
      </c>
      <c r="E11" s="9">
        <f>SUMIF('Sales Data'!$D$2:$D$301,D11,'Sales Data'!$J$2:$J$301)</f>
        <v/>
      </c>
      <c r="G11" t="inlineStr">
        <is>
          <t>Feb</t>
        </is>
      </c>
      <c r="H11" s="9">
        <f>SUMIFS('Sales Data'!$J$2:$J$301,'Sales Data'!$B$2:$B$301,"&gt;="&amp;DATE(2025,2,1),'Sales Data'!$B$2:$B$301,"&lt;"&amp;DATE(2025,3,1))</f>
        <v/>
      </c>
    </row>
    <row r="12" ht="22" customHeight="1">
      <c r="A12" t="inlineStr">
        <is>
          <t>Furniture</t>
        </is>
      </c>
      <c r="B12" s="9">
        <f>SUMIF('Sales Data'!$F$2:$F$301,A12,'Sales Data'!$J$2:$J$301)</f>
        <v/>
      </c>
      <c r="D12" t="inlineStr">
        <is>
          <t>South</t>
        </is>
      </c>
      <c r="E12" s="9">
        <f>SUMIF('Sales Data'!$D$2:$D$301,D12,'Sales Data'!$J$2:$J$301)</f>
        <v/>
      </c>
      <c r="G12" t="inlineStr">
        <is>
          <t>Mar</t>
        </is>
      </c>
      <c r="H12" s="9">
        <f>SUMIFS('Sales Data'!$J$2:$J$301,'Sales Data'!$B$2:$B$301,"&gt;="&amp;DATE(2025,3,1),'Sales Data'!$B$2:$B$301,"&lt;"&amp;DATE(2025,4,1))</f>
        <v/>
      </c>
    </row>
    <row r="13" ht="22" customHeight="1">
      <c r="A13" t="inlineStr">
        <is>
          <t>Stationery</t>
        </is>
      </c>
      <c r="B13" s="9">
        <f>SUMIF('Sales Data'!$F$2:$F$301,A13,'Sales Data'!$J$2:$J$301)</f>
        <v/>
      </c>
      <c r="D13" t="inlineStr">
        <is>
          <t>East</t>
        </is>
      </c>
      <c r="E13" s="9">
        <f>SUMIF('Sales Data'!$D$2:$D$301,D13,'Sales Data'!$J$2:$J$301)</f>
        <v/>
      </c>
      <c r="G13" t="inlineStr">
        <is>
          <t>Apr</t>
        </is>
      </c>
      <c r="H13" s="9">
        <f>SUMIFS('Sales Data'!$J$2:$J$301,'Sales Data'!$B$2:$B$301,"&gt;="&amp;DATE(2025,4,1),'Sales Data'!$B$2:$B$301,"&lt;"&amp;DATE(2025,5,1))</f>
        <v/>
      </c>
    </row>
    <row r="14" ht="22" customHeight="1">
      <c r="G14" t="inlineStr">
        <is>
          <t>May</t>
        </is>
      </c>
      <c r="H14" s="9">
        <f>SUMIFS('Sales Data'!$J$2:$J$301,'Sales Data'!$B$2:$B$301,"&gt;="&amp;DATE(2025,5,1),'Sales Data'!$B$2:$B$301,"&lt;"&amp;DATE(2025,6,1))</f>
        <v/>
      </c>
    </row>
    <row r="15" ht="22" customHeight="1">
      <c r="G15" t="inlineStr">
        <is>
          <t>Jun</t>
        </is>
      </c>
      <c r="H15" s="9">
        <f>SUMIFS('Sales Data'!$J$2:$J$301,'Sales Data'!$B$2:$B$301,"&gt;="&amp;DATE(2025,6,1),'Sales Data'!$B$2:$B$301,"&lt;"&amp;DATE(2025,7,1))</f>
        <v/>
      </c>
    </row>
    <row r="16" ht="22" customHeight="1">
      <c r="G16" t="inlineStr">
        <is>
          <t>Jul</t>
        </is>
      </c>
      <c r="H16" s="9">
        <f>SUMIFS('Sales Data'!$J$2:$J$301,'Sales Data'!$B$2:$B$301,"&gt;="&amp;DATE(2025,7,1),'Sales Data'!$B$2:$B$301,"&lt;"&amp;DATE(2025,8,1))</f>
        <v/>
      </c>
    </row>
    <row r="17" ht="22" customHeight="1">
      <c r="G17" t="inlineStr">
        <is>
          <t>Aug</t>
        </is>
      </c>
      <c r="H17" s="9">
        <f>SUMIFS('Sales Data'!$J$2:$J$301,'Sales Data'!$B$2:$B$301,"&gt;="&amp;DATE(2025,8,1),'Sales Data'!$B$2:$B$301,"&lt;"&amp;DATE(2025,9,1))</f>
        <v/>
      </c>
    </row>
    <row r="18" ht="22" customHeight="1">
      <c r="G18" t="inlineStr">
        <is>
          <t>Sep</t>
        </is>
      </c>
      <c r="H18" s="9">
        <f>SUMIFS('Sales Data'!$J$2:$J$301,'Sales Data'!$B$2:$B$301,"&gt;="&amp;DATE(2025,9,1),'Sales Data'!$B$2:$B$301,"&lt;"&amp;DATE(2025,10,1))</f>
        <v/>
      </c>
    </row>
    <row r="19" ht="22" customHeight="1">
      <c r="G19" t="inlineStr">
        <is>
          <t>Oct</t>
        </is>
      </c>
      <c r="H19" s="9">
        <f>SUMIFS('Sales Data'!$J$2:$J$301,'Sales Data'!$B$2:$B$301,"&gt;="&amp;DATE(2025,10,1),'Sales Data'!$B$2:$B$301,"&lt;"&amp;DATE(2025,11,1))</f>
        <v/>
      </c>
    </row>
    <row r="20" ht="22" customHeight="1">
      <c r="G20" t="inlineStr">
        <is>
          <t>Nov</t>
        </is>
      </c>
      <c r="H20" s="9">
        <f>SUMIFS('Sales Data'!$J$2:$J$301,'Sales Data'!$B$2:$B$301,"&gt;="&amp;DATE(2025,11,1),'Sales Data'!$B$2:$B$301,"&lt;"&amp;DATE(2025,12,1))</f>
        <v/>
      </c>
    </row>
    <row r="21" ht="22" customHeight="1">
      <c r="G21" t="inlineStr">
        <is>
          <t>Dec</t>
        </is>
      </c>
      <c r="H21" s="9">
        <f>SUMIFS('Sales Data'!$J$2:$J$301,'Sales Data'!$B$2:$B$301,"&gt;="&amp;DATE(2025,12,1),'Sales Data'!$B$2:$B$301,"&lt;"&amp;DATE(2025,2026,1))</f>
        <v/>
      </c>
    </row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</sheetData>
  <mergeCells count="2">
    <mergeCell ref="A2:H2"/>
    <mergeCell ref="A1:H1"/>
  </mergeCells>
  <conditionalFormatting sqref="B10:B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3" customWidth="1" min="6" max="6"/>
    <col width="12" customWidth="1" min="7" max="7"/>
    <col width="16" customWidth="1" min="8" max="8"/>
    <col width="12" customWidth="1" min="9" max="9"/>
    <col width="13" customWidth="1" min="10" max="10"/>
    <col width="15" customWidth="1" min="11" max="11"/>
  </cols>
  <sheetData>
    <row r="1">
      <c r="A1" s="10" t="inlineStr">
        <is>
          <t>Order ID</t>
        </is>
      </c>
      <c r="B1" s="10" t="inlineStr">
        <is>
          <t>Order Date</t>
        </is>
      </c>
      <c r="C1" s="10" t="inlineStr">
        <is>
          <t>City</t>
        </is>
      </c>
      <c r="D1" s="10" t="inlineStr">
        <is>
          <t>Region</t>
        </is>
      </c>
      <c r="E1" s="10" t="inlineStr">
        <is>
          <t>Product</t>
        </is>
      </c>
      <c r="F1" s="10" t="inlineStr">
        <is>
          <t>Category</t>
        </is>
      </c>
      <c r="G1" s="10" t="inlineStr">
        <is>
          <t>Quantity</t>
        </is>
      </c>
      <c r="H1" s="10" t="inlineStr">
        <is>
          <t>Unit Price (₹)</t>
        </is>
      </c>
      <c r="I1" s="10" t="inlineStr">
        <is>
          <t>Discount</t>
        </is>
      </c>
      <c r="J1" s="10" t="inlineStr">
        <is>
          <t>Revenue (₹)</t>
        </is>
      </c>
      <c r="K1" s="10" t="inlineStr">
        <is>
          <t>Sales Channel</t>
        </is>
      </c>
    </row>
    <row r="2">
      <c r="A2" t="inlineStr">
        <is>
          <t>ORD0266</t>
        </is>
      </c>
      <c r="B2" s="11" t="n">
        <v>45659</v>
      </c>
      <c r="C2" t="inlineStr">
        <is>
          <t>Mumbai</t>
        </is>
      </c>
      <c r="D2" t="inlineStr">
        <is>
          <t>West</t>
        </is>
      </c>
      <c r="E2" t="inlineStr">
        <is>
          <t>Office Chair</t>
        </is>
      </c>
      <c r="F2" t="inlineStr">
        <is>
          <t>Furniture</t>
        </is>
      </c>
      <c r="G2" t="n">
        <v>2</v>
      </c>
      <c r="H2" s="9" t="n">
        <v>8274.389999999999</v>
      </c>
      <c r="I2" s="12" t="n">
        <v>0</v>
      </c>
      <c r="J2" s="9" t="n">
        <v>16548.78</v>
      </c>
      <c r="K2" t="inlineStr">
        <is>
          <t>Online</t>
        </is>
      </c>
    </row>
    <row r="3">
      <c r="A3" t="inlineStr">
        <is>
          <t>ORD0223</t>
        </is>
      </c>
      <c r="B3" s="11" t="n">
        <v>45659</v>
      </c>
      <c r="C3" t="inlineStr">
        <is>
          <t>Mumbai</t>
        </is>
      </c>
      <c r="D3" t="inlineStr">
        <is>
          <t>West</t>
        </is>
      </c>
      <c r="E3" t="inlineStr">
        <is>
          <t>USB Drive</t>
        </is>
      </c>
      <c r="F3" t="inlineStr">
        <is>
          <t>Accessories</t>
        </is>
      </c>
      <c r="G3" t="n">
        <v>7</v>
      </c>
      <c r="H3" s="9" t="n">
        <v>562.77</v>
      </c>
      <c r="I3" s="12" t="n">
        <v>0.15</v>
      </c>
      <c r="J3" s="9" t="n">
        <v>3348.48</v>
      </c>
      <c r="K3" t="inlineStr">
        <is>
          <t>Distributor</t>
        </is>
      </c>
    </row>
    <row r="4">
      <c r="A4" t="inlineStr">
        <is>
          <t>ORD0126</t>
        </is>
      </c>
      <c r="B4" s="11" t="n">
        <v>45661</v>
      </c>
      <c r="C4" t="inlineStr">
        <is>
          <t>Thane</t>
        </is>
      </c>
      <c r="D4" t="inlineStr">
        <is>
          <t>West</t>
        </is>
      </c>
      <c r="E4" t="inlineStr">
        <is>
          <t>USB Drive</t>
        </is>
      </c>
      <c r="F4" t="inlineStr">
        <is>
          <t>Accessories</t>
        </is>
      </c>
      <c r="G4" t="n">
        <v>7</v>
      </c>
      <c r="H4" s="9" t="n">
        <v>513.16</v>
      </c>
      <c r="I4" s="12" t="n">
        <v>0</v>
      </c>
      <c r="J4" s="9" t="n">
        <v>3592.12</v>
      </c>
      <c r="K4" t="inlineStr">
        <is>
          <t>Retail</t>
        </is>
      </c>
    </row>
    <row r="5">
      <c r="A5" t="inlineStr">
        <is>
          <t>ORD0297</t>
        </is>
      </c>
      <c r="B5" s="11" t="n">
        <v>45663</v>
      </c>
      <c r="C5" t="inlineStr">
        <is>
          <t>Mumbai</t>
        </is>
      </c>
      <c r="D5" t="inlineStr">
        <is>
          <t>North</t>
        </is>
      </c>
      <c r="E5" t="inlineStr">
        <is>
          <t>Headphones</t>
        </is>
      </c>
      <c r="F5" t="inlineStr">
        <is>
          <t>Electronics</t>
        </is>
      </c>
      <c r="G5" t="n">
        <v>8</v>
      </c>
      <c r="H5" s="9" t="n">
        <v>1938.58</v>
      </c>
      <c r="I5" s="12" t="n">
        <v>0.1</v>
      </c>
      <c r="J5" s="9" t="n">
        <v>13957.78</v>
      </c>
      <c r="K5" t="inlineStr">
        <is>
          <t>Retail</t>
        </is>
      </c>
    </row>
    <row r="6">
      <c r="A6" t="inlineStr">
        <is>
          <t>ORD0160</t>
        </is>
      </c>
      <c r="B6" s="11" t="n">
        <v>45665</v>
      </c>
      <c r="C6" t="inlineStr">
        <is>
          <t>Nashik</t>
        </is>
      </c>
      <c r="D6" t="inlineStr">
        <is>
          <t>East</t>
        </is>
      </c>
      <c r="E6" t="inlineStr">
        <is>
          <t>Headphones</t>
        </is>
      </c>
      <c r="F6" t="inlineStr">
        <is>
          <t>Electronics</t>
        </is>
      </c>
      <c r="G6" t="n">
        <v>7</v>
      </c>
      <c r="H6" s="9" t="n">
        <v>1875.92</v>
      </c>
      <c r="I6" s="12" t="n">
        <v>0</v>
      </c>
      <c r="J6" s="9" t="n">
        <v>13131.44</v>
      </c>
      <c r="K6" t="inlineStr">
        <is>
          <t>Distributor</t>
        </is>
      </c>
    </row>
    <row r="7">
      <c r="A7" t="inlineStr">
        <is>
          <t>ORD0290</t>
        </is>
      </c>
      <c r="B7" s="11" t="n">
        <v>45665</v>
      </c>
      <c r="C7" t="inlineStr">
        <is>
          <t>Pune</t>
        </is>
      </c>
      <c r="D7" t="inlineStr">
        <is>
          <t>North</t>
        </is>
      </c>
      <c r="E7" t="inlineStr">
        <is>
          <t>Monitor</t>
        </is>
      </c>
      <c r="F7" t="inlineStr">
        <is>
          <t>Electronics</t>
        </is>
      </c>
      <c r="G7" t="n">
        <v>2</v>
      </c>
      <c r="H7" s="9" t="n">
        <v>12520.23</v>
      </c>
      <c r="I7" s="12" t="n">
        <v>0.1</v>
      </c>
      <c r="J7" s="9" t="n">
        <v>22536.41</v>
      </c>
      <c r="K7" t="inlineStr">
        <is>
          <t>Retail</t>
        </is>
      </c>
    </row>
    <row r="8">
      <c r="A8" t="inlineStr">
        <is>
          <t>ORD0122</t>
        </is>
      </c>
      <c r="B8" s="11" t="n">
        <v>45668</v>
      </c>
      <c r="C8" t="inlineStr">
        <is>
          <t>Nagpur</t>
        </is>
      </c>
      <c r="D8" t="inlineStr">
        <is>
          <t>East</t>
        </is>
      </c>
      <c r="E8" t="inlineStr">
        <is>
          <t>Office Chair</t>
        </is>
      </c>
      <c r="F8" t="inlineStr">
        <is>
          <t>Furniture</t>
        </is>
      </c>
      <c r="G8" t="n">
        <v>3</v>
      </c>
      <c r="H8" s="9" t="n">
        <v>8062.05</v>
      </c>
      <c r="I8" s="12" t="n">
        <v>0</v>
      </c>
      <c r="J8" s="9" t="n">
        <v>24186.15</v>
      </c>
      <c r="K8" t="inlineStr">
        <is>
          <t>Retail</t>
        </is>
      </c>
    </row>
    <row r="9">
      <c r="A9" t="inlineStr">
        <is>
          <t>ORD0253</t>
        </is>
      </c>
      <c r="B9" s="11" t="n">
        <v>45668</v>
      </c>
      <c r="C9" t="inlineStr">
        <is>
          <t>Mumbai</t>
        </is>
      </c>
      <c r="D9" t="inlineStr">
        <is>
          <t>East</t>
        </is>
      </c>
      <c r="E9" t="inlineStr">
        <is>
          <t>Office Chair</t>
        </is>
      </c>
      <c r="F9" t="inlineStr">
        <is>
          <t>Furniture</t>
        </is>
      </c>
      <c r="G9" t="n">
        <v>6</v>
      </c>
      <c r="H9" s="9" t="n">
        <v>7634.15</v>
      </c>
      <c r="I9" s="12" t="n">
        <v>0.15</v>
      </c>
      <c r="J9" s="9" t="n">
        <v>38934.16</v>
      </c>
      <c r="K9" t="inlineStr">
        <is>
          <t>Online</t>
        </is>
      </c>
    </row>
    <row r="10">
      <c r="A10" t="inlineStr">
        <is>
          <t>ORD0035</t>
        </is>
      </c>
      <c r="B10" s="11" t="n">
        <v>45669</v>
      </c>
      <c r="C10" t="inlineStr">
        <is>
          <t>Thane</t>
        </is>
      </c>
      <c r="D10" t="inlineStr">
        <is>
          <t>East</t>
        </is>
      </c>
      <c r="E10" t="inlineStr">
        <is>
          <t>Keyboard</t>
        </is>
      </c>
      <c r="F10" t="inlineStr">
        <is>
          <t>Accessories</t>
        </is>
      </c>
      <c r="G10" t="n">
        <v>2</v>
      </c>
      <c r="H10" s="9" t="n">
        <v>1137.19</v>
      </c>
      <c r="I10" s="12" t="n">
        <v>0</v>
      </c>
      <c r="J10" s="9" t="n">
        <v>2274.38</v>
      </c>
      <c r="K10" t="inlineStr">
        <is>
          <t>Distributor</t>
        </is>
      </c>
    </row>
    <row r="11">
      <c r="A11" t="inlineStr">
        <is>
          <t>ORD0047</t>
        </is>
      </c>
      <c r="B11" s="11" t="n">
        <v>45670</v>
      </c>
      <c r="C11" t="inlineStr">
        <is>
          <t>Thane</t>
        </is>
      </c>
      <c r="D11" t="inlineStr">
        <is>
          <t>East</t>
        </is>
      </c>
      <c r="E11" t="inlineStr">
        <is>
          <t>USB Drive</t>
        </is>
      </c>
      <c r="F11" t="inlineStr">
        <is>
          <t>Accessories</t>
        </is>
      </c>
      <c r="G11" t="n">
        <v>8</v>
      </c>
      <c r="H11" s="9" t="n">
        <v>557.11</v>
      </c>
      <c r="I11" s="12" t="n">
        <v>0.15</v>
      </c>
      <c r="J11" s="9" t="n">
        <v>3788.35</v>
      </c>
      <c r="K11" t="inlineStr">
        <is>
          <t>Retail</t>
        </is>
      </c>
    </row>
    <row r="12">
      <c r="A12" t="inlineStr">
        <is>
          <t>ORD0172</t>
        </is>
      </c>
      <c r="B12" s="11" t="n">
        <v>45671</v>
      </c>
      <c r="C12" t="inlineStr">
        <is>
          <t>Nashik</t>
        </is>
      </c>
      <c r="D12" t="inlineStr">
        <is>
          <t>South</t>
        </is>
      </c>
      <c r="E12" t="inlineStr">
        <is>
          <t>Desk</t>
        </is>
      </c>
      <c r="F12" t="inlineStr">
        <is>
          <t>Furniture</t>
        </is>
      </c>
      <c r="G12" t="n">
        <v>5</v>
      </c>
      <c r="H12" s="9" t="n">
        <v>9999.790000000001</v>
      </c>
      <c r="I12" s="12" t="n">
        <v>0.15</v>
      </c>
      <c r="J12" s="9" t="n">
        <v>42499.11</v>
      </c>
      <c r="K12" t="inlineStr">
        <is>
          <t>Online</t>
        </is>
      </c>
    </row>
    <row r="13">
      <c r="A13" t="inlineStr">
        <is>
          <t>ORD0062</t>
        </is>
      </c>
      <c r="B13" s="11" t="n">
        <v>45672</v>
      </c>
      <c r="C13" t="inlineStr">
        <is>
          <t>Thane</t>
        </is>
      </c>
      <c r="D13" t="inlineStr">
        <is>
          <t>South</t>
        </is>
      </c>
      <c r="E13" t="inlineStr">
        <is>
          <t>Keyboard</t>
        </is>
      </c>
      <c r="F13" t="inlineStr">
        <is>
          <t>Accessories</t>
        </is>
      </c>
      <c r="G13" t="n">
        <v>8</v>
      </c>
      <c r="H13" s="9" t="n">
        <v>1215.75</v>
      </c>
      <c r="I13" s="12" t="n">
        <v>0.05</v>
      </c>
      <c r="J13" s="9" t="n">
        <v>9239.700000000001</v>
      </c>
      <c r="K13" t="inlineStr">
        <is>
          <t>Online</t>
        </is>
      </c>
    </row>
    <row r="14">
      <c r="A14" t="inlineStr">
        <is>
          <t>ORD0198</t>
        </is>
      </c>
      <c r="B14" s="11" t="n">
        <v>45674</v>
      </c>
      <c r="C14" t="inlineStr">
        <is>
          <t>Nagpur</t>
        </is>
      </c>
      <c r="D14" t="inlineStr">
        <is>
          <t>North</t>
        </is>
      </c>
      <c r="E14" t="inlineStr">
        <is>
          <t>Mouse</t>
        </is>
      </c>
      <c r="F14" t="inlineStr">
        <is>
          <t>Accessories</t>
        </is>
      </c>
      <c r="G14" t="n">
        <v>3</v>
      </c>
      <c r="H14" s="9" t="n">
        <v>614.78</v>
      </c>
      <c r="I14" s="12" t="n">
        <v>0</v>
      </c>
      <c r="J14" s="9" t="n">
        <v>1844.34</v>
      </c>
      <c r="K14" t="inlineStr">
        <is>
          <t>Retail</t>
        </is>
      </c>
    </row>
    <row r="15">
      <c r="A15" t="inlineStr">
        <is>
          <t>ORD0158</t>
        </is>
      </c>
      <c r="B15" s="11" t="n">
        <v>45674</v>
      </c>
      <c r="C15" t="inlineStr">
        <is>
          <t>Nashik</t>
        </is>
      </c>
      <c r="D15" t="inlineStr">
        <is>
          <t>North</t>
        </is>
      </c>
      <c r="E15" t="inlineStr">
        <is>
          <t>Laptop</t>
        </is>
      </c>
      <c r="F15" t="inlineStr">
        <is>
          <t>Electronics</t>
        </is>
      </c>
      <c r="G15" t="n">
        <v>5</v>
      </c>
      <c r="H15" s="9" t="n">
        <v>55014.72</v>
      </c>
      <c r="I15" s="12" t="n">
        <v>0.1</v>
      </c>
      <c r="J15" s="9" t="n">
        <v>247566.24</v>
      </c>
      <c r="K15" t="inlineStr">
        <is>
          <t>Distributor</t>
        </is>
      </c>
    </row>
    <row r="16">
      <c r="A16" t="inlineStr">
        <is>
          <t>ORD0178</t>
        </is>
      </c>
      <c r="B16" s="11" t="n">
        <v>45677</v>
      </c>
      <c r="C16" t="inlineStr">
        <is>
          <t>Bengaluru</t>
        </is>
      </c>
      <c r="D16" t="inlineStr">
        <is>
          <t>West</t>
        </is>
      </c>
      <c r="E16" t="inlineStr">
        <is>
          <t>Desk</t>
        </is>
      </c>
      <c r="F16" t="inlineStr">
        <is>
          <t>Furniture</t>
        </is>
      </c>
      <c r="G16" t="n">
        <v>4</v>
      </c>
      <c r="H16" s="9" t="n">
        <v>9129.719999999999</v>
      </c>
      <c r="I16" s="12" t="n">
        <v>0.05</v>
      </c>
      <c r="J16" s="9" t="n">
        <v>34692.94</v>
      </c>
      <c r="K16" t="inlineStr">
        <is>
          <t>Retail</t>
        </is>
      </c>
    </row>
    <row r="17">
      <c r="A17" t="inlineStr">
        <is>
          <t>ORD0154</t>
        </is>
      </c>
      <c r="B17" s="11" t="n">
        <v>45681</v>
      </c>
      <c r="C17" t="inlineStr">
        <is>
          <t>Nashik</t>
        </is>
      </c>
      <c r="D17" t="inlineStr">
        <is>
          <t>North</t>
        </is>
      </c>
      <c r="E17" t="inlineStr">
        <is>
          <t>Monitor</t>
        </is>
      </c>
      <c r="F17" t="inlineStr">
        <is>
          <t>Electronics</t>
        </is>
      </c>
      <c r="G17" t="n">
        <v>8</v>
      </c>
      <c r="H17" s="9" t="n">
        <v>12797.48</v>
      </c>
      <c r="I17" s="12" t="n">
        <v>0.05</v>
      </c>
      <c r="J17" s="9" t="n">
        <v>97260.85000000001</v>
      </c>
      <c r="K17" t="inlineStr">
        <is>
          <t>Online</t>
        </is>
      </c>
    </row>
    <row r="18">
      <c r="A18" t="inlineStr">
        <is>
          <t>ORD0176</t>
        </is>
      </c>
      <c r="B18" s="11" t="n">
        <v>45684</v>
      </c>
      <c r="C18" t="inlineStr">
        <is>
          <t>Nagpur</t>
        </is>
      </c>
      <c r="D18" t="inlineStr">
        <is>
          <t>West</t>
        </is>
      </c>
      <c r="E18" t="inlineStr">
        <is>
          <t>Pen Pack</t>
        </is>
      </c>
      <c r="F18" t="inlineStr">
        <is>
          <t>Stationery</t>
        </is>
      </c>
      <c r="G18" t="n">
        <v>8</v>
      </c>
      <c r="H18" s="9" t="n">
        <v>153.83</v>
      </c>
      <c r="I18" s="12" t="n">
        <v>0.05</v>
      </c>
      <c r="J18" s="9" t="n">
        <v>1169.11</v>
      </c>
      <c r="K18" t="inlineStr">
        <is>
          <t>Distributor</t>
        </is>
      </c>
    </row>
    <row r="19">
      <c r="A19" t="inlineStr">
        <is>
          <t>ORD0237</t>
        </is>
      </c>
      <c r="B19" s="11" t="n">
        <v>45688</v>
      </c>
      <c r="C19" t="inlineStr">
        <is>
          <t>Thane</t>
        </is>
      </c>
      <c r="D19" t="inlineStr">
        <is>
          <t>East</t>
        </is>
      </c>
      <c r="E19" t="inlineStr">
        <is>
          <t>Desk</t>
        </is>
      </c>
      <c r="F19" t="inlineStr">
        <is>
          <t>Furniture</t>
        </is>
      </c>
      <c r="G19" t="n">
        <v>2</v>
      </c>
      <c r="H19" s="9" t="n">
        <v>9952.549999999999</v>
      </c>
      <c r="I19" s="12" t="n">
        <v>0.1</v>
      </c>
      <c r="J19" s="9" t="n">
        <v>17914.59</v>
      </c>
      <c r="K19" t="inlineStr">
        <is>
          <t>Distributor</t>
        </is>
      </c>
    </row>
    <row r="20">
      <c r="A20" t="inlineStr">
        <is>
          <t>ORD0149</t>
        </is>
      </c>
      <c r="B20" s="11" t="n">
        <v>45689</v>
      </c>
      <c r="C20" t="inlineStr">
        <is>
          <t>Nashik</t>
        </is>
      </c>
      <c r="D20" t="inlineStr">
        <is>
          <t>South</t>
        </is>
      </c>
      <c r="E20" t="inlineStr">
        <is>
          <t>Desk</t>
        </is>
      </c>
      <c r="F20" t="inlineStr">
        <is>
          <t>Furniture</t>
        </is>
      </c>
      <c r="G20" t="n">
        <v>5</v>
      </c>
      <c r="H20" s="9" t="n">
        <v>10251.68</v>
      </c>
      <c r="I20" s="12" t="n">
        <v>0</v>
      </c>
      <c r="J20" s="9" t="n">
        <v>51258.4</v>
      </c>
      <c r="K20" t="inlineStr">
        <is>
          <t>Retail</t>
        </is>
      </c>
    </row>
    <row r="21">
      <c r="A21" t="inlineStr">
        <is>
          <t>ORD0186</t>
        </is>
      </c>
      <c r="B21" s="11" t="n">
        <v>45691</v>
      </c>
      <c r="C21" t="inlineStr">
        <is>
          <t>Thane</t>
        </is>
      </c>
      <c r="D21" t="inlineStr">
        <is>
          <t>North</t>
        </is>
      </c>
      <c r="E21" t="inlineStr">
        <is>
          <t>Mouse</t>
        </is>
      </c>
      <c r="F21" t="inlineStr">
        <is>
          <t>Accessories</t>
        </is>
      </c>
      <c r="G21" t="n">
        <v>4</v>
      </c>
      <c r="H21" s="9" t="n">
        <v>683.54</v>
      </c>
      <c r="I21" s="12" t="n">
        <v>0.15</v>
      </c>
      <c r="J21" s="9" t="n">
        <v>2324.04</v>
      </c>
      <c r="K21" t="inlineStr">
        <is>
          <t>Distributor</t>
        </is>
      </c>
    </row>
    <row r="22">
      <c r="A22" t="inlineStr">
        <is>
          <t>ORD0152</t>
        </is>
      </c>
      <c r="B22" s="11" t="n">
        <v>45692</v>
      </c>
      <c r="C22" t="inlineStr">
        <is>
          <t>Bengaluru</t>
        </is>
      </c>
      <c r="D22" t="inlineStr">
        <is>
          <t>West</t>
        </is>
      </c>
      <c r="E22" t="inlineStr">
        <is>
          <t>Monitor</t>
        </is>
      </c>
      <c r="F22" t="inlineStr">
        <is>
          <t>Electronics</t>
        </is>
      </c>
      <c r="G22" t="n">
        <v>8</v>
      </c>
      <c r="H22" s="9" t="n">
        <v>11853.69</v>
      </c>
      <c r="I22" s="12" t="n">
        <v>0</v>
      </c>
      <c r="J22" s="9" t="n">
        <v>94829.52</v>
      </c>
      <c r="K22" t="inlineStr">
        <is>
          <t>Retail</t>
        </is>
      </c>
    </row>
    <row r="23">
      <c r="A23" t="inlineStr">
        <is>
          <t>ORD0120</t>
        </is>
      </c>
      <c r="B23" s="11" t="n">
        <v>45693</v>
      </c>
      <c r="C23" t="inlineStr">
        <is>
          <t>Chennai</t>
        </is>
      </c>
      <c r="D23" t="inlineStr">
        <is>
          <t>West</t>
        </is>
      </c>
      <c r="E23" t="inlineStr">
        <is>
          <t>Office Chair</t>
        </is>
      </c>
      <c r="F23" t="inlineStr">
        <is>
          <t>Furniture</t>
        </is>
      </c>
      <c r="G23" t="n">
        <v>3</v>
      </c>
      <c r="H23" s="9" t="n">
        <v>8061.71</v>
      </c>
      <c r="I23" s="12" t="n">
        <v>0</v>
      </c>
      <c r="J23" s="9" t="n">
        <v>24185.13</v>
      </c>
      <c r="K23" t="inlineStr">
        <is>
          <t>Retail</t>
        </is>
      </c>
    </row>
    <row r="24">
      <c r="A24" t="inlineStr">
        <is>
          <t>ORD0213</t>
        </is>
      </c>
      <c r="B24" s="11" t="n">
        <v>45694</v>
      </c>
      <c r="C24" t="inlineStr">
        <is>
          <t>Thane</t>
        </is>
      </c>
      <c r="D24" t="inlineStr">
        <is>
          <t>North</t>
        </is>
      </c>
      <c r="E24" t="inlineStr">
        <is>
          <t>Laptop</t>
        </is>
      </c>
      <c r="F24" t="inlineStr">
        <is>
          <t>Electronics</t>
        </is>
      </c>
      <c r="G24" t="n">
        <v>4</v>
      </c>
      <c r="H24" s="9" t="n">
        <v>52503.98</v>
      </c>
      <c r="I24" s="12" t="n">
        <v>0.1</v>
      </c>
      <c r="J24" s="9" t="n">
        <v>189014.33</v>
      </c>
      <c r="K24" t="inlineStr">
        <is>
          <t>Retail</t>
        </is>
      </c>
    </row>
    <row r="25">
      <c r="A25" t="inlineStr">
        <is>
          <t>ORD0044</t>
        </is>
      </c>
      <c r="B25" s="11" t="n">
        <v>45695</v>
      </c>
      <c r="C25" t="inlineStr">
        <is>
          <t>Delhi</t>
        </is>
      </c>
      <c r="D25" t="inlineStr">
        <is>
          <t>North</t>
        </is>
      </c>
      <c r="E25" t="inlineStr">
        <is>
          <t>USB Drive</t>
        </is>
      </c>
      <c r="F25" t="inlineStr">
        <is>
          <t>Accessories</t>
        </is>
      </c>
      <c r="G25" t="n">
        <v>7</v>
      </c>
      <c r="H25" s="9" t="n">
        <v>536.54</v>
      </c>
      <c r="I25" s="12" t="n">
        <v>0</v>
      </c>
      <c r="J25" s="9" t="n">
        <v>3755.78</v>
      </c>
      <c r="K25" t="inlineStr">
        <is>
          <t>Distributor</t>
        </is>
      </c>
    </row>
    <row r="26">
      <c r="A26" t="inlineStr">
        <is>
          <t>ORD0037</t>
        </is>
      </c>
      <c r="B26" s="11" t="n">
        <v>45695</v>
      </c>
      <c r="C26" t="inlineStr">
        <is>
          <t>Pune</t>
        </is>
      </c>
      <c r="D26" t="inlineStr">
        <is>
          <t>West</t>
        </is>
      </c>
      <c r="E26" t="inlineStr">
        <is>
          <t>Laptop</t>
        </is>
      </c>
      <c r="F26" t="inlineStr">
        <is>
          <t>Electronics</t>
        </is>
      </c>
      <c r="G26" t="n">
        <v>2</v>
      </c>
      <c r="H26" s="9" t="n">
        <v>52284.06</v>
      </c>
      <c r="I26" s="12" t="n">
        <v>0</v>
      </c>
      <c r="J26" s="9" t="n">
        <v>104568.12</v>
      </c>
      <c r="K26" t="inlineStr">
        <is>
          <t>Retail</t>
        </is>
      </c>
    </row>
    <row r="27">
      <c r="A27" t="inlineStr">
        <is>
          <t>ORD0073</t>
        </is>
      </c>
      <c r="B27" s="11" t="n">
        <v>45698</v>
      </c>
      <c r="C27" t="inlineStr">
        <is>
          <t>Delhi</t>
        </is>
      </c>
      <c r="D27" t="inlineStr">
        <is>
          <t>South</t>
        </is>
      </c>
      <c r="E27" t="inlineStr">
        <is>
          <t>Monitor</t>
        </is>
      </c>
      <c r="F27" t="inlineStr">
        <is>
          <t>Electronics</t>
        </is>
      </c>
      <c r="G27" t="n">
        <v>4</v>
      </c>
      <c r="H27" s="9" t="n">
        <v>13368.18</v>
      </c>
      <c r="I27" s="12" t="n">
        <v>0.15</v>
      </c>
      <c r="J27" s="9" t="n">
        <v>45451.81</v>
      </c>
      <c r="K27" t="inlineStr">
        <is>
          <t>Online</t>
        </is>
      </c>
    </row>
    <row r="28">
      <c r="A28" t="inlineStr">
        <is>
          <t>ORD0196</t>
        </is>
      </c>
      <c r="B28" s="11" t="n">
        <v>45699</v>
      </c>
      <c r="C28" t="inlineStr">
        <is>
          <t>Thane</t>
        </is>
      </c>
      <c r="D28" t="inlineStr">
        <is>
          <t>East</t>
        </is>
      </c>
      <c r="E28" t="inlineStr">
        <is>
          <t>Monitor</t>
        </is>
      </c>
      <c r="F28" t="inlineStr">
        <is>
          <t>Electronics</t>
        </is>
      </c>
      <c r="G28" t="n">
        <v>2</v>
      </c>
      <c r="H28" s="9" t="n">
        <v>11583.89</v>
      </c>
      <c r="I28" s="12" t="n">
        <v>0</v>
      </c>
      <c r="J28" s="9" t="n">
        <v>23167.78</v>
      </c>
      <c r="K28" t="inlineStr">
        <is>
          <t>Distributor</t>
        </is>
      </c>
    </row>
    <row r="29">
      <c r="A29" t="inlineStr">
        <is>
          <t>ORD0206</t>
        </is>
      </c>
      <c r="B29" s="11" t="n">
        <v>45699</v>
      </c>
      <c r="C29" t="inlineStr">
        <is>
          <t>Mumbai</t>
        </is>
      </c>
      <c r="D29" t="inlineStr">
        <is>
          <t>West</t>
        </is>
      </c>
      <c r="E29" t="inlineStr">
        <is>
          <t>Office Chair</t>
        </is>
      </c>
      <c r="F29" t="inlineStr">
        <is>
          <t>Furniture</t>
        </is>
      </c>
      <c r="G29" t="n">
        <v>8</v>
      </c>
      <c r="H29" s="9" t="n">
        <v>7778.3</v>
      </c>
      <c r="I29" s="12" t="n">
        <v>0.15</v>
      </c>
      <c r="J29" s="9" t="n">
        <v>52892.44</v>
      </c>
      <c r="K29" t="inlineStr">
        <is>
          <t>Distributor</t>
        </is>
      </c>
    </row>
    <row r="30">
      <c r="A30" t="inlineStr">
        <is>
          <t>ORD0114</t>
        </is>
      </c>
      <c r="B30" s="11" t="n">
        <v>45702</v>
      </c>
      <c r="C30" t="inlineStr">
        <is>
          <t>Thane</t>
        </is>
      </c>
      <c r="D30" t="inlineStr">
        <is>
          <t>West</t>
        </is>
      </c>
      <c r="E30" t="inlineStr">
        <is>
          <t>Pen Pack</t>
        </is>
      </c>
      <c r="F30" t="inlineStr">
        <is>
          <t>Stationery</t>
        </is>
      </c>
      <c r="G30" t="n">
        <v>3</v>
      </c>
      <c r="H30" s="9" t="n">
        <v>144.87</v>
      </c>
      <c r="I30" s="12" t="n">
        <v>0.1</v>
      </c>
      <c r="J30" s="9" t="n">
        <v>391.15</v>
      </c>
      <c r="K30" t="inlineStr">
        <is>
          <t>Online</t>
        </is>
      </c>
    </row>
    <row r="31">
      <c r="A31" t="inlineStr">
        <is>
          <t>ORD0286</t>
        </is>
      </c>
      <c r="B31" s="11" t="n">
        <v>45702</v>
      </c>
      <c r="C31" t="inlineStr">
        <is>
          <t>Nagpur</t>
        </is>
      </c>
      <c r="D31" t="inlineStr">
        <is>
          <t>East</t>
        </is>
      </c>
      <c r="E31" t="inlineStr">
        <is>
          <t>Keyboard</t>
        </is>
      </c>
      <c r="F31" t="inlineStr">
        <is>
          <t>Accessories</t>
        </is>
      </c>
      <c r="G31" t="n">
        <v>3</v>
      </c>
      <c r="H31" s="9" t="n">
        <v>1212.27</v>
      </c>
      <c r="I31" s="12" t="n">
        <v>0</v>
      </c>
      <c r="J31" s="9" t="n">
        <v>3636.81</v>
      </c>
      <c r="K31" t="inlineStr">
        <is>
          <t>Online</t>
        </is>
      </c>
    </row>
    <row r="32">
      <c r="A32" t="inlineStr">
        <is>
          <t>ORD0199</t>
        </is>
      </c>
      <c r="B32" s="11" t="n">
        <v>45703</v>
      </c>
      <c r="C32" t="inlineStr">
        <is>
          <t>Thane</t>
        </is>
      </c>
      <c r="D32" t="inlineStr">
        <is>
          <t>East</t>
        </is>
      </c>
      <c r="E32" t="inlineStr">
        <is>
          <t>Notebook</t>
        </is>
      </c>
      <c r="F32" t="inlineStr">
        <is>
          <t>Stationery</t>
        </is>
      </c>
      <c r="G32" t="n">
        <v>6</v>
      </c>
      <c r="H32" s="9" t="n">
        <v>91.11</v>
      </c>
      <c r="I32" s="12" t="n">
        <v>0</v>
      </c>
      <c r="J32" s="9" t="n">
        <v>546.66</v>
      </c>
      <c r="K32" t="inlineStr">
        <is>
          <t>Retail</t>
        </is>
      </c>
    </row>
    <row r="33">
      <c r="A33" t="inlineStr">
        <is>
          <t>ORD0293</t>
        </is>
      </c>
      <c r="B33" s="11" t="n">
        <v>45703</v>
      </c>
      <c r="C33" t="inlineStr">
        <is>
          <t>Mumbai</t>
        </is>
      </c>
      <c r="D33" t="inlineStr">
        <is>
          <t>West</t>
        </is>
      </c>
      <c r="E33" t="inlineStr">
        <is>
          <t>Pen Pack</t>
        </is>
      </c>
      <c r="F33" t="inlineStr">
        <is>
          <t>Stationery</t>
        </is>
      </c>
      <c r="G33" t="n">
        <v>2</v>
      </c>
      <c r="H33" s="9" t="n">
        <v>154.01</v>
      </c>
      <c r="I33" s="12" t="n">
        <v>0.1</v>
      </c>
      <c r="J33" s="9" t="n">
        <v>277.22</v>
      </c>
      <c r="K33" t="inlineStr">
        <is>
          <t>Distributor</t>
        </is>
      </c>
    </row>
    <row r="34">
      <c r="A34" t="inlineStr">
        <is>
          <t>ORD0021</t>
        </is>
      </c>
      <c r="B34" s="11" t="n">
        <v>45706</v>
      </c>
      <c r="C34" t="inlineStr">
        <is>
          <t>Delhi</t>
        </is>
      </c>
      <c r="D34" t="inlineStr">
        <is>
          <t>West</t>
        </is>
      </c>
      <c r="E34" t="inlineStr">
        <is>
          <t>Monitor</t>
        </is>
      </c>
      <c r="F34" t="inlineStr">
        <is>
          <t>Electronics</t>
        </is>
      </c>
      <c r="G34" t="n">
        <v>8</v>
      </c>
      <c r="H34" s="9" t="n">
        <v>12326.32</v>
      </c>
      <c r="I34" s="12" t="n">
        <v>0</v>
      </c>
      <c r="J34" s="9" t="n">
        <v>98610.56</v>
      </c>
      <c r="K34" t="inlineStr">
        <is>
          <t>Retail</t>
        </is>
      </c>
    </row>
    <row r="35">
      <c r="A35" t="inlineStr">
        <is>
          <t>ORD0097</t>
        </is>
      </c>
      <c r="B35" s="11" t="n">
        <v>45706</v>
      </c>
      <c r="C35" t="inlineStr">
        <is>
          <t>Bengaluru</t>
        </is>
      </c>
      <c r="D35" t="inlineStr">
        <is>
          <t>North</t>
        </is>
      </c>
      <c r="E35" t="inlineStr">
        <is>
          <t>USB Drive</t>
        </is>
      </c>
      <c r="F35" t="inlineStr">
        <is>
          <t>Accessories</t>
        </is>
      </c>
      <c r="G35" t="n">
        <v>4</v>
      </c>
      <c r="H35" s="9" t="n">
        <v>527.92</v>
      </c>
      <c r="I35" s="12" t="n">
        <v>0.1</v>
      </c>
      <c r="J35" s="9" t="n">
        <v>1900.51</v>
      </c>
      <c r="K35" t="inlineStr">
        <is>
          <t>Distributor</t>
        </is>
      </c>
    </row>
    <row r="36">
      <c r="A36" t="inlineStr">
        <is>
          <t>ORD0155</t>
        </is>
      </c>
      <c r="B36" s="11" t="n">
        <v>45706</v>
      </c>
      <c r="C36" t="inlineStr">
        <is>
          <t>Thane</t>
        </is>
      </c>
      <c r="D36" t="inlineStr">
        <is>
          <t>North</t>
        </is>
      </c>
      <c r="E36" t="inlineStr">
        <is>
          <t>USB Drive</t>
        </is>
      </c>
      <c r="F36" t="inlineStr">
        <is>
          <t>Accessories</t>
        </is>
      </c>
      <c r="G36" t="n">
        <v>8</v>
      </c>
      <c r="H36" s="9" t="n">
        <v>590.6900000000001</v>
      </c>
      <c r="I36" s="12" t="n">
        <v>0.1</v>
      </c>
      <c r="J36" s="9" t="n">
        <v>4252.97</v>
      </c>
      <c r="K36" t="inlineStr">
        <is>
          <t>Distributor</t>
        </is>
      </c>
    </row>
    <row r="37">
      <c r="A37" t="inlineStr">
        <is>
          <t>ORD0005</t>
        </is>
      </c>
      <c r="B37" s="11" t="n">
        <v>45708</v>
      </c>
      <c r="C37" t="inlineStr">
        <is>
          <t>Chennai</t>
        </is>
      </c>
      <c r="D37" t="inlineStr">
        <is>
          <t>South</t>
        </is>
      </c>
      <c r="E37" t="inlineStr">
        <is>
          <t>USB Drive</t>
        </is>
      </c>
      <c r="F37" t="inlineStr">
        <is>
          <t>Accessories</t>
        </is>
      </c>
      <c r="G37" t="n">
        <v>7</v>
      </c>
      <c r="H37" s="9" t="n">
        <v>572.5</v>
      </c>
      <c r="I37" s="12" t="n">
        <v>0.1</v>
      </c>
      <c r="J37" s="9" t="n">
        <v>3606.75</v>
      </c>
      <c r="K37" t="inlineStr">
        <is>
          <t>Distributor</t>
        </is>
      </c>
    </row>
    <row r="38">
      <c r="A38" t="inlineStr">
        <is>
          <t>ORD0287</t>
        </is>
      </c>
      <c r="B38" s="11" t="n">
        <v>45710</v>
      </c>
      <c r="C38" t="inlineStr">
        <is>
          <t>Pune</t>
        </is>
      </c>
      <c r="D38" t="inlineStr">
        <is>
          <t>North</t>
        </is>
      </c>
      <c r="E38" t="inlineStr">
        <is>
          <t>Mouse</t>
        </is>
      </c>
      <c r="F38" t="inlineStr">
        <is>
          <t>Accessories</t>
        </is>
      </c>
      <c r="G38" t="n">
        <v>6</v>
      </c>
      <c r="H38" s="9" t="n">
        <v>667.84</v>
      </c>
      <c r="I38" s="12" t="n">
        <v>0</v>
      </c>
      <c r="J38" s="9" t="n">
        <v>4007.04</v>
      </c>
      <c r="K38" t="inlineStr">
        <is>
          <t>Distributor</t>
        </is>
      </c>
    </row>
    <row r="39">
      <c r="A39" t="inlineStr">
        <is>
          <t>ORD0084</t>
        </is>
      </c>
      <c r="B39" s="11" t="n">
        <v>45711</v>
      </c>
      <c r="C39" t="inlineStr">
        <is>
          <t>Nagpur</t>
        </is>
      </c>
      <c r="D39" t="inlineStr">
        <is>
          <t>South</t>
        </is>
      </c>
      <c r="E39" t="inlineStr">
        <is>
          <t>Desk</t>
        </is>
      </c>
      <c r="F39" t="inlineStr">
        <is>
          <t>Furniture</t>
        </is>
      </c>
      <c r="G39" t="n">
        <v>5</v>
      </c>
      <c r="H39" s="9" t="n">
        <v>8953.639999999999</v>
      </c>
      <c r="I39" s="12" t="n">
        <v>0.05</v>
      </c>
      <c r="J39" s="9" t="n">
        <v>42529.79</v>
      </c>
      <c r="K39" t="inlineStr">
        <is>
          <t>Distributor</t>
        </is>
      </c>
    </row>
    <row r="40">
      <c r="A40" t="inlineStr">
        <is>
          <t>ORD0119</t>
        </is>
      </c>
      <c r="B40" s="11" t="n">
        <v>45713</v>
      </c>
      <c r="C40" t="inlineStr">
        <is>
          <t>Chennai</t>
        </is>
      </c>
      <c r="D40" t="inlineStr">
        <is>
          <t>East</t>
        </is>
      </c>
      <c r="E40" t="inlineStr">
        <is>
          <t>Laptop</t>
        </is>
      </c>
      <c r="F40" t="inlineStr">
        <is>
          <t>Electronics</t>
        </is>
      </c>
      <c r="G40" t="n">
        <v>8</v>
      </c>
      <c r="H40" s="9" t="n">
        <v>55035.24</v>
      </c>
      <c r="I40" s="12" t="n">
        <v>0.1</v>
      </c>
      <c r="J40" s="9" t="n">
        <v>396253.73</v>
      </c>
      <c r="K40" t="inlineStr">
        <is>
          <t>Online</t>
        </is>
      </c>
    </row>
    <row r="41">
      <c r="A41" t="inlineStr">
        <is>
          <t>ORD0096</t>
        </is>
      </c>
      <c r="B41" s="11" t="n">
        <v>45713</v>
      </c>
      <c r="C41" t="inlineStr">
        <is>
          <t>Delhi</t>
        </is>
      </c>
      <c r="D41" t="inlineStr">
        <is>
          <t>North</t>
        </is>
      </c>
      <c r="E41" t="inlineStr">
        <is>
          <t>Office Chair</t>
        </is>
      </c>
      <c r="F41" t="inlineStr">
        <is>
          <t>Furniture</t>
        </is>
      </c>
      <c r="G41" t="n">
        <v>3</v>
      </c>
      <c r="H41" s="9" t="n">
        <v>7546.86</v>
      </c>
      <c r="I41" s="12" t="n">
        <v>0.05</v>
      </c>
      <c r="J41" s="9" t="n">
        <v>21508.55</v>
      </c>
      <c r="K41" t="inlineStr">
        <is>
          <t>Online</t>
        </is>
      </c>
    </row>
    <row r="42">
      <c r="A42" t="inlineStr">
        <is>
          <t>ORD0289</t>
        </is>
      </c>
      <c r="B42" s="11" t="n">
        <v>45714</v>
      </c>
      <c r="C42" t="inlineStr">
        <is>
          <t>Mumbai</t>
        </is>
      </c>
      <c r="D42" t="inlineStr">
        <is>
          <t>East</t>
        </is>
      </c>
      <c r="E42" t="inlineStr">
        <is>
          <t>Mouse</t>
        </is>
      </c>
      <c r="F42" t="inlineStr">
        <is>
          <t>Accessories</t>
        </is>
      </c>
      <c r="G42" t="n">
        <v>5</v>
      </c>
      <c r="H42" s="9" t="n">
        <v>686.5700000000001</v>
      </c>
      <c r="I42" s="12" t="n">
        <v>0</v>
      </c>
      <c r="J42" s="9" t="n">
        <v>3432.85</v>
      </c>
      <c r="K42" t="inlineStr">
        <is>
          <t>Distributor</t>
        </is>
      </c>
    </row>
    <row r="43">
      <c r="A43" t="inlineStr">
        <is>
          <t>ORD0014</t>
        </is>
      </c>
      <c r="B43" s="11" t="n">
        <v>45715</v>
      </c>
      <c r="C43" t="inlineStr">
        <is>
          <t>Bengaluru</t>
        </is>
      </c>
      <c r="D43" t="inlineStr">
        <is>
          <t>North</t>
        </is>
      </c>
      <c r="E43" t="inlineStr">
        <is>
          <t>Mouse</t>
        </is>
      </c>
      <c r="F43" t="inlineStr">
        <is>
          <t>Accessories</t>
        </is>
      </c>
      <c r="G43" t="n">
        <v>8</v>
      </c>
      <c r="H43" s="9" t="n">
        <v>689.39</v>
      </c>
      <c r="I43" s="12" t="n">
        <v>0</v>
      </c>
      <c r="J43" s="9" t="n">
        <v>5515.12</v>
      </c>
      <c r="K43" t="inlineStr">
        <is>
          <t>Online</t>
        </is>
      </c>
    </row>
    <row r="44">
      <c r="A44" t="inlineStr">
        <is>
          <t>ORD0085</t>
        </is>
      </c>
      <c r="B44" s="11" t="n">
        <v>45715</v>
      </c>
      <c r="C44" t="inlineStr">
        <is>
          <t>Mumbai</t>
        </is>
      </c>
      <c r="D44" t="inlineStr">
        <is>
          <t>East</t>
        </is>
      </c>
      <c r="E44" t="inlineStr">
        <is>
          <t>Monitor</t>
        </is>
      </c>
      <c r="F44" t="inlineStr">
        <is>
          <t>Electronics</t>
        </is>
      </c>
      <c r="G44" t="n">
        <v>2</v>
      </c>
      <c r="H44" s="9" t="n">
        <v>12602.36</v>
      </c>
      <c r="I44" s="12" t="n">
        <v>0.05</v>
      </c>
      <c r="J44" s="9" t="n">
        <v>23944.48</v>
      </c>
      <c r="K44" t="inlineStr">
        <is>
          <t>Online</t>
        </is>
      </c>
    </row>
    <row r="45">
      <c r="A45" t="inlineStr">
        <is>
          <t>ORD0064</t>
        </is>
      </c>
      <c r="B45" s="11" t="n">
        <v>45716</v>
      </c>
      <c r="C45" t="inlineStr">
        <is>
          <t>Thane</t>
        </is>
      </c>
      <c r="D45" t="inlineStr">
        <is>
          <t>South</t>
        </is>
      </c>
      <c r="E45" t="inlineStr">
        <is>
          <t>Pen Pack</t>
        </is>
      </c>
      <c r="F45" t="inlineStr">
        <is>
          <t>Stationery</t>
        </is>
      </c>
      <c r="G45" t="n">
        <v>1</v>
      </c>
      <c r="H45" s="9" t="n">
        <v>144.61</v>
      </c>
      <c r="I45" s="12" t="n">
        <v>0.05</v>
      </c>
      <c r="J45" s="9" t="n">
        <v>137.38</v>
      </c>
      <c r="K45" t="inlineStr">
        <is>
          <t>Retail</t>
        </is>
      </c>
    </row>
    <row r="46">
      <c r="A46" t="inlineStr">
        <is>
          <t>ORD0245</t>
        </is>
      </c>
      <c r="B46" s="11" t="n">
        <v>45716</v>
      </c>
      <c r="C46" t="inlineStr">
        <is>
          <t>Mumbai</t>
        </is>
      </c>
      <c r="D46" t="inlineStr">
        <is>
          <t>South</t>
        </is>
      </c>
      <c r="E46" t="inlineStr">
        <is>
          <t>USB Drive</t>
        </is>
      </c>
      <c r="F46" t="inlineStr">
        <is>
          <t>Accessories</t>
        </is>
      </c>
      <c r="G46" t="n">
        <v>5</v>
      </c>
      <c r="H46" s="9" t="n">
        <v>536.9400000000001</v>
      </c>
      <c r="I46" s="12" t="n">
        <v>0</v>
      </c>
      <c r="J46" s="9" t="n">
        <v>2684.7</v>
      </c>
      <c r="K46" t="inlineStr">
        <is>
          <t>Online</t>
        </is>
      </c>
    </row>
    <row r="47">
      <c r="A47" t="inlineStr">
        <is>
          <t>ORD0010</t>
        </is>
      </c>
      <c r="B47" s="11" t="n">
        <v>45716</v>
      </c>
      <c r="C47" t="inlineStr">
        <is>
          <t>Bengaluru</t>
        </is>
      </c>
      <c r="D47" t="inlineStr">
        <is>
          <t>South</t>
        </is>
      </c>
      <c r="E47" t="inlineStr">
        <is>
          <t>Office Chair</t>
        </is>
      </c>
      <c r="F47" t="inlineStr">
        <is>
          <t>Furniture</t>
        </is>
      </c>
      <c r="G47" t="n">
        <v>3</v>
      </c>
      <c r="H47" s="9" t="n">
        <v>7769.58</v>
      </c>
      <c r="I47" s="12" t="n">
        <v>0.1</v>
      </c>
      <c r="J47" s="9" t="n">
        <v>20977.87</v>
      </c>
      <c r="K47" t="inlineStr">
        <is>
          <t>Distributor</t>
        </is>
      </c>
    </row>
    <row r="48">
      <c r="A48" t="inlineStr">
        <is>
          <t>ORD0230</t>
        </is>
      </c>
      <c r="B48" s="11" t="n">
        <v>45721</v>
      </c>
      <c r="C48" t="inlineStr">
        <is>
          <t>Thane</t>
        </is>
      </c>
      <c r="D48" t="inlineStr">
        <is>
          <t>South</t>
        </is>
      </c>
      <c r="E48" t="inlineStr">
        <is>
          <t>Mouse</t>
        </is>
      </c>
      <c r="F48" t="inlineStr">
        <is>
          <t>Accessories</t>
        </is>
      </c>
      <c r="G48" t="n">
        <v>5</v>
      </c>
      <c r="H48" s="9" t="n">
        <v>663.15</v>
      </c>
      <c r="I48" s="12" t="n">
        <v>0</v>
      </c>
      <c r="J48" s="9" t="n">
        <v>3315.75</v>
      </c>
      <c r="K48" t="inlineStr">
        <is>
          <t>Retail</t>
        </is>
      </c>
    </row>
    <row r="49">
      <c r="A49" t="inlineStr">
        <is>
          <t>ORD0150</t>
        </is>
      </c>
      <c r="B49" s="11" t="n">
        <v>45721</v>
      </c>
      <c r="C49" t="inlineStr">
        <is>
          <t>Thane</t>
        </is>
      </c>
      <c r="D49" t="inlineStr">
        <is>
          <t>South</t>
        </is>
      </c>
      <c r="E49" t="inlineStr">
        <is>
          <t>Headphones</t>
        </is>
      </c>
      <c r="F49" t="inlineStr">
        <is>
          <t>Electronics</t>
        </is>
      </c>
      <c r="G49" t="n">
        <v>2</v>
      </c>
      <c r="H49" s="9" t="n">
        <v>1927.57</v>
      </c>
      <c r="I49" s="12" t="n">
        <v>0.1</v>
      </c>
      <c r="J49" s="9" t="n">
        <v>3469.63</v>
      </c>
      <c r="K49" t="inlineStr">
        <is>
          <t>Online</t>
        </is>
      </c>
    </row>
    <row r="50">
      <c r="A50" t="inlineStr">
        <is>
          <t>ORD0052</t>
        </is>
      </c>
      <c r="B50" s="11" t="n">
        <v>45723</v>
      </c>
      <c r="C50" t="inlineStr">
        <is>
          <t>Bengaluru</t>
        </is>
      </c>
      <c r="D50" t="inlineStr">
        <is>
          <t>South</t>
        </is>
      </c>
      <c r="E50" t="inlineStr">
        <is>
          <t>Office Chair</t>
        </is>
      </c>
      <c r="F50" t="inlineStr">
        <is>
          <t>Furniture</t>
        </is>
      </c>
      <c r="G50" t="n">
        <v>6</v>
      </c>
      <c r="H50" s="9" t="n">
        <v>7557.66</v>
      </c>
      <c r="I50" s="12" t="n">
        <v>0.1</v>
      </c>
      <c r="J50" s="9" t="n">
        <v>40811.36</v>
      </c>
      <c r="K50" t="inlineStr">
        <is>
          <t>Distributor</t>
        </is>
      </c>
    </row>
    <row r="51">
      <c r="A51" t="inlineStr">
        <is>
          <t>ORD0217</t>
        </is>
      </c>
      <c r="B51" s="11" t="n">
        <v>45723</v>
      </c>
      <c r="C51" t="inlineStr">
        <is>
          <t>Nagpur</t>
        </is>
      </c>
      <c r="D51" t="inlineStr">
        <is>
          <t>South</t>
        </is>
      </c>
      <c r="E51" t="inlineStr">
        <is>
          <t>Mouse</t>
        </is>
      </c>
      <c r="F51" t="inlineStr">
        <is>
          <t>Accessories</t>
        </is>
      </c>
      <c r="G51" t="n">
        <v>2</v>
      </c>
      <c r="H51" s="9" t="n">
        <v>638.6799999999999</v>
      </c>
      <c r="I51" s="12" t="n">
        <v>0</v>
      </c>
      <c r="J51" s="9" t="n">
        <v>1277.36</v>
      </c>
      <c r="K51" t="inlineStr">
        <is>
          <t>Online</t>
        </is>
      </c>
    </row>
    <row r="52">
      <c r="A52" t="inlineStr">
        <is>
          <t>ORD0148</t>
        </is>
      </c>
      <c r="B52" s="11" t="n">
        <v>45726</v>
      </c>
      <c r="C52" t="inlineStr">
        <is>
          <t>Nagpur</t>
        </is>
      </c>
      <c r="D52" t="inlineStr">
        <is>
          <t>North</t>
        </is>
      </c>
      <c r="E52" t="inlineStr">
        <is>
          <t>Desk</t>
        </is>
      </c>
      <c r="F52" t="inlineStr">
        <is>
          <t>Furniture</t>
        </is>
      </c>
      <c r="G52" t="n">
        <v>2</v>
      </c>
      <c r="H52" s="9" t="n">
        <v>9415.700000000001</v>
      </c>
      <c r="I52" s="12" t="n">
        <v>0.1</v>
      </c>
      <c r="J52" s="9" t="n">
        <v>16948.26</v>
      </c>
      <c r="K52" t="inlineStr">
        <is>
          <t>Distributor</t>
        </is>
      </c>
    </row>
    <row r="53">
      <c r="A53" t="inlineStr">
        <is>
          <t>ORD0032</t>
        </is>
      </c>
      <c r="B53" s="11" t="n">
        <v>45727</v>
      </c>
      <c r="C53" t="inlineStr">
        <is>
          <t>Chennai</t>
        </is>
      </c>
      <c r="D53" t="inlineStr">
        <is>
          <t>West</t>
        </is>
      </c>
      <c r="E53" t="inlineStr">
        <is>
          <t>Monitor</t>
        </is>
      </c>
      <c r="F53" t="inlineStr">
        <is>
          <t>Electronics</t>
        </is>
      </c>
      <c r="G53" t="n">
        <v>4</v>
      </c>
      <c r="H53" s="9" t="n">
        <v>11812.34</v>
      </c>
      <c r="I53" s="12" t="n">
        <v>0</v>
      </c>
      <c r="J53" s="9" t="n">
        <v>47249.36</v>
      </c>
      <c r="K53" t="inlineStr">
        <is>
          <t>Retail</t>
        </is>
      </c>
    </row>
    <row r="54">
      <c r="A54" t="inlineStr">
        <is>
          <t>ORD0028</t>
        </is>
      </c>
      <c r="B54" s="11" t="n">
        <v>45728</v>
      </c>
      <c r="C54" t="inlineStr">
        <is>
          <t>Chennai</t>
        </is>
      </c>
      <c r="D54" t="inlineStr">
        <is>
          <t>South</t>
        </is>
      </c>
      <c r="E54" t="inlineStr">
        <is>
          <t>Desk</t>
        </is>
      </c>
      <c r="F54" t="inlineStr">
        <is>
          <t>Furniture</t>
        </is>
      </c>
      <c r="G54" t="n">
        <v>8</v>
      </c>
      <c r="H54" s="9" t="n">
        <v>10146.49</v>
      </c>
      <c r="I54" s="12" t="n">
        <v>0</v>
      </c>
      <c r="J54" s="9" t="n">
        <v>81171.92</v>
      </c>
      <c r="K54" t="inlineStr">
        <is>
          <t>Online</t>
        </is>
      </c>
    </row>
    <row r="55">
      <c r="A55" t="inlineStr">
        <is>
          <t>ORD0224</t>
        </is>
      </c>
      <c r="B55" s="11" t="n">
        <v>45730</v>
      </c>
      <c r="C55" t="inlineStr">
        <is>
          <t>Nashik</t>
        </is>
      </c>
      <c r="D55" t="inlineStr">
        <is>
          <t>East</t>
        </is>
      </c>
      <c r="E55" t="inlineStr">
        <is>
          <t>Keyboard</t>
        </is>
      </c>
      <c r="F55" t="inlineStr">
        <is>
          <t>Accessories</t>
        </is>
      </c>
      <c r="G55" t="n">
        <v>7</v>
      </c>
      <c r="H55" s="9" t="n">
        <v>1291.67</v>
      </c>
      <c r="I55" s="12" t="n">
        <v>0.15</v>
      </c>
      <c r="J55" s="9" t="n">
        <v>7685.44</v>
      </c>
      <c r="K55" t="inlineStr">
        <is>
          <t>Retail</t>
        </is>
      </c>
    </row>
    <row r="56">
      <c r="A56" t="inlineStr">
        <is>
          <t>ORD0190</t>
        </is>
      </c>
      <c r="B56" s="11" t="n">
        <v>45731</v>
      </c>
      <c r="C56" t="inlineStr">
        <is>
          <t>Mumbai</t>
        </is>
      </c>
      <c r="D56" t="inlineStr">
        <is>
          <t>North</t>
        </is>
      </c>
      <c r="E56" t="inlineStr">
        <is>
          <t>Headphones</t>
        </is>
      </c>
      <c r="F56" t="inlineStr">
        <is>
          <t>Electronics</t>
        </is>
      </c>
      <c r="G56" t="n">
        <v>5</v>
      </c>
      <c r="H56" s="9" t="n">
        <v>1771.69</v>
      </c>
      <c r="I56" s="12" t="n">
        <v>0.1</v>
      </c>
      <c r="J56" s="9" t="n">
        <v>7972.61</v>
      </c>
      <c r="K56" t="inlineStr">
        <is>
          <t>Online</t>
        </is>
      </c>
    </row>
    <row r="57">
      <c r="A57" t="inlineStr">
        <is>
          <t>ORD0226</t>
        </is>
      </c>
      <c r="B57" s="11" t="n">
        <v>45732</v>
      </c>
      <c r="C57" t="inlineStr">
        <is>
          <t>Pune</t>
        </is>
      </c>
      <c r="D57" t="inlineStr">
        <is>
          <t>North</t>
        </is>
      </c>
      <c r="E57" t="inlineStr">
        <is>
          <t>Mouse</t>
        </is>
      </c>
      <c r="F57" t="inlineStr">
        <is>
          <t>Accessories</t>
        </is>
      </c>
      <c r="G57" t="n">
        <v>5</v>
      </c>
      <c r="H57" s="9" t="n">
        <v>689.22</v>
      </c>
      <c r="I57" s="12" t="n">
        <v>0.05</v>
      </c>
      <c r="J57" s="9" t="n">
        <v>3273.8</v>
      </c>
      <c r="K57" t="inlineStr">
        <is>
          <t>Online</t>
        </is>
      </c>
    </row>
    <row r="58">
      <c r="A58" t="inlineStr">
        <is>
          <t>ORD0215</t>
        </is>
      </c>
      <c r="B58" s="11" t="n">
        <v>45732</v>
      </c>
      <c r="C58" t="inlineStr">
        <is>
          <t>Mumbai</t>
        </is>
      </c>
      <c r="D58" t="inlineStr">
        <is>
          <t>East</t>
        </is>
      </c>
      <c r="E58" t="inlineStr">
        <is>
          <t>Notebook</t>
        </is>
      </c>
      <c r="F58" t="inlineStr">
        <is>
          <t>Stationery</t>
        </is>
      </c>
      <c r="G58" t="n">
        <v>3</v>
      </c>
      <c r="H58" s="9" t="n">
        <v>84.8</v>
      </c>
      <c r="I58" s="12" t="n">
        <v>0.15</v>
      </c>
      <c r="J58" s="9" t="n">
        <v>216.24</v>
      </c>
      <c r="K58" t="inlineStr">
        <is>
          <t>Retail</t>
        </is>
      </c>
    </row>
    <row r="59">
      <c r="A59" t="inlineStr">
        <is>
          <t>ORD0050</t>
        </is>
      </c>
      <c r="B59" s="11" t="n">
        <v>45732</v>
      </c>
      <c r="C59" t="inlineStr">
        <is>
          <t>Chennai</t>
        </is>
      </c>
      <c r="D59" t="inlineStr">
        <is>
          <t>West</t>
        </is>
      </c>
      <c r="E59" t="inlineStr">
        <is>
          <t>Pen Pack</t>
        </is>
      </c>
      <c r="F59" t="inlineStr">
        <is>
          <t>Stationery</t>
        </is>
      </c>
      <c r="G59" t="n">
        <v>7</v>
      </c>
      <c r="H59" s="9" t="n">
        <v>146.86</v>
      </c>
      <c r="I59" s="12" t="n">
        <v>0</v>
      </c>
      <c r="J59" s="9" t="n">
        <v>1028.02</v>
      </c>
      <c r="K59" t="inlineStr">
        <is>
          <t>Online</t>
        </is>
      </c>
    </row>
    <row r="60">
      <c r="A60" t="inlineStr">
        <is>
          <t>ORD0238</t>
        </is>
      </c>
      <c r="B60" s="11" t="n">
        <v>45732</v>
      </c>
      <c r="C60" t="inlineStr">
        <is>
          <t>Bengaluru</t>
        </is>
      </c>
      <c r="D60" t="inlineStr">
        <is>
          <t>South</t>
        </is>
      </c>
      <c r="E60" t="inlineStr">
        <is>
          <t>Laptop</t>
        </is>
      </c>
      <c r="F60" t="inlineStr">
        <is>
          <t>Electronics</t>
        </is>
      </c>
      <c r="G60" t="n">
        <v>2</v>
      </c>
      <c r="H60" s="9" t="n">
        <v>51356.04</v>
      </c>
      <c r="I60" s="12" t="n">
        <v>0</v>
      </c>
      <c r="J60" s="9" t="n">
        <v>102712.08</v>
      </c>
      <c r="K60" t="inlineStr">
        <is>
          <t>Retail</t>
        </is>
      </c>
    </row>
    <row r="61">
      <c r="A61" t="inlineStr">
        <is>
          <t>ORD0026</t>
        </is>
      </c>
      <c r="B61" s="11" t="n">
        <v>45733</v>
      </c>
      <c r="C61" t="inlineStr">
        <is>
          <t>Nashik</t>
        </is>
      </c>
      <c r="D61" t="inlineStr">
        <is>
          <t>West</t>
        </is>
      </c>
      <c r="E61" t="inlineStr">
        <is>
          <t>Mouse</t>
        </is>
      </c>
      <c r="F61" t="inlineStr">
        <is>
          <t>Accessories</t>
        </is>
      </c>
      <c r="G61" t="n">
        <v>5</v>
      </c>
      <c r="H61" s="9" t="n">
        <v>610.64</v>
      </c>
      <c r="I61" s="12" t="n">
        <v>0.1</v>
      </c>
      <c r="J61" s="9" t="n">
        <v>2747.88</v>
      </c>
      <c r="K61" t="inlineStr">
        <is>
          <t>Distributor</t>
        </is>
      </c>
    </row>
    <row r="62">
      <c r="A62" t="inlineStr">
        <is>
          <t>ORD0210</t>
        </is>
      </c>
      <c r="B62" s="11" t="n">
        <v>45733</v>
      </c>
      <c r="C62" t="inlineStr">
        <is>
          <t>Nagpur</t>
        </is>
      </c>
      <c r="D62" t="inlineStr">
        <is>
          <t>South</t>
        </is>
      </c>
      <c r="E62" t="inlineStr">
        <is>
          <t>Desk</t>
        </is>
      </c>
      <c r="F62" t="inlineStr">
        <is>
          <t>Furniture</t>
        </is>
      </c>
      <c r="G62" t="n">
        <v>7</v>
      </c>
      <c r="H62" s="9" t="n">
        <v>8752.68</v>
      </c>
      <c r="I62" s="12" t="n">
        <v>0</v>
      </c>
      <c r="J62" s="9" t="n">
        <v>61268.76</v>
      </c>
      <c r="K62" t="inlineStr">
        <is>
          <t>Distributor</t>
        </is>
      </c>
    </row>
    <row r="63">
      <c r="A63" t="inlineStr">
        <is>
          <t>ORD0180</t>
        </is>
      </c>
      <c r="B63" s="11" t="n">
        <v>45733</v>
      </c>
      <c r="C63" t="inlineStr">
        <is>
          <t>Pune</t>
        </is>
      </c>
      <c r="D63" t="inlineStr">
        <is>
          <t>West</t>
        </is>
      </c>
      <c r="E63" t="inlineStr">
        <is>
          <t>Monitor</t>
        </is>
      </c>
      <c r="F63" t="inlineStr">
        <is>
          <t>Electronics</t>
        </is>
      </c>
      <c r="G63" t="n">
        <v>7</v>
      </c>
      <c r="H63" s="9" t="n">
        <v>13045.88</v>
      </c>
      <c r="I63" s="12" t="n">
        <v>0</v>
      </c>
      <c r="J63" s="9" t="n">
        <v>91321.16</v>
      </c>
      <c r="K63" t="inlineStr">
        <is>
          <t>Online</t>
        </is>
      </c>
    </row>
    <row r="64">
      <c r="A64" t="inlineStr">
        <is>
          <t>ORD0002</t>
        </is>
      </c>
      <c r="B64" s="11" t="n">
        <v>45733</v>
      </c>
      <c r="C64" t="inlineStr">
        <is>
          <t>Delhi</t>
        </is>
      </c>
      <c r="D64" t="inlineStr">
        <is>
          <t>South</t>
        </is>
      </c>
      <c r="E64" t="inlineStr">
        <is>
          <t>USB Drive</t>
        </is>
      </c>
      <c r="F64" t="inlineStr">
        <is>
          <t>Accessories</t>
        </is>
      </c>
      <c r="G64" t="n">
        <v>5</v>
      </c>
      <c r="H64" s="9" t="n">
        <v>515.47</v>
      </c>
      <c r="I64" s="12" t="n">
        <v>0.1</v>
      </c>
      <c r="J64" s="9" t="n">
        <v>2319.62</v>
      </c>
      <c r="K64" t="inlineStr">
        <is>
          <t>Online</t>
        </is>
      </c>
    </row>
    <row r="65">
      <c r="A65" t="inlineStr">
        <is>
          <t>ORD0236</t>
        </is>
      </c>
      <c r="B65" s="11" t="n">
        <v>45736</v>
      </c>
      <c r="C65" t="inlineStr">
        <is>
          <t>Bengaluru</t>
        </is>
      </c>
      <c r="D65" t="inlineStr">
        <is>
          <t>East</t>
        </is>
      </c>
      <c r="E65" t="inlineStr">
        <is>
          <t>USB Drive</t>
        </is>
      </c>
      <c r="F65" t="inlineStr">
        <is>
          <t>Accessories</t>
        </is>
      </c>
      <c r="G65" t="n">
        <v>7</v>
      </c>
      <c r="H65" s="9" t="n">
        <v>558.3</v>
      </c>
      <c r="I65" s="12" t="n">
        <v>0.05</v>
      </c>
      <c r="J65" s="9" t="n">
        <v>3712.69</v>
      </c>
      <c r="K65" t="inlineStr">
        <is>
          <t>Retail</t>
        </is>
      </c>
    </row>
    <row r="66">
      <c r="A66" t="inlineStr">
        <is>
          <t>ORD0254</t>
        </is>
      </c>
      <c r="B66" s="11" t="n">
        <v>45736</v>
      </c>
      <c r="C66" t="inlineStr">
        <is>
          <t>Mumbai</t>
        </is>
      </c>
      <c r="D66" t="inlineStr">
        <is>
          <t>North</t>
        </is>
      </c>
      <c r="E66" t="inlineStr">
        <is>
          <t>Pen Pack</t>
        </is>
      </c>
      <c r="F66" t="inlineStr">
        <is>
          <t>Stationery</t>
        </is>
      </c>
      <c r="G66" t="n">
        <v>7</v>
      </c>
      <c r="H66" s="9" t="n">
        <v>154.33</v>
      </c>
      <c r="I66" s="12" t="n">
        <v>0</v>
      </c>
      <c r="J66" s="9" t="n">
        <v>1080.31</v>
      </c>
      <c r="K66" t="inlineStr">
        <is>
          <t>Online</t>
        </is>
      </c>
    </row>
    <row r="67">
      <c r="A67" t="inlineStr">
        <is>
          <t>ORD0246</t>
        </is>
      </c>
      <c r="B67" s="11" t="n">
        <v>45736</v>
      </c>
      <c r="C67" t="inlineStr">
        <is>
          <t>Mumbai</t>
        </is>
      </c>
      <c r="D67" t="inlineStr">
        <is>
          <t>East</t>
        </is>
      </c>
      <c r="E67" t="inlineStr">
        <is>
          <t>Laptop</t>
        </is>
      </c>
      <c r="F67" t="inlineStr">
        <is>
          <t>Electronics</t>
        </is>
      </c>
      <c r="G67" t="n">
        <v>7</v>
      </c>
      <c r="H67" s="9" t="n">
        <v>53629.33</v>
      </c>
      <c r="I67" s="12" t="n">
        <v>0.05</v>
      </c>
      <c r="J67" s="9" t="n">
        <v>356635.04</v>
      </c>
      <c r="K67" t="inlineStr">
        <is>
          <t>Online</t>
        </is>
      </c>
    </row>
    <row r="68">
      <c r="A68" t="inlineStr">
        <is>
          <t>ORD0200</t>
        </is>
      </c>
      <c r="B68" s="11" t="n">
        <v>45738</v>
      </c>
      <c r="C68" t="inlineStr">
        <is>
          <t>Nashik</t>
        </is>
      </c>
      <c r="D68" t="inlineStr">
        <is>
          <t>North</t>
        </is>
      </c>
      <c r="E68" t="inlineStr">
        <is>
          <t>Pen Pack</t>
        </is>
      </c>
      <c r="F68" t="inlineStr">
        <is>
          <t>Stationery</t>
        </is>
      </c>
      <c r="G68" t="n">
        <v>1</v>
      </c>
      <c r="H68" s="9" t="n">
        <v>151.96</v>
      </c>
      <c r="I68" s="12" t="n">
        <v>0.15</v>
      </c>
      <c r="J68" s="9" t="n">
        <v>129.17</v>
      </c>
      <c r="K68" t="inlineStr">
        <is>
          <t>Distributor</t>
        </is>
      </c>
    </row>
    <row r="69">
      <c r="A69" t="inlineStr">
        <is>
          <t>ORD0174</t>
        </is>
      </c>
      <c r="B69" s="11" t="n">
        <v>45743</v>
      </c>
      <c r="C69" t="inlineStr">
        <is>
          <t>Bengaluru</t>
        </is>
      </c>
      <c r="D69" t="inlineStr">
        <is>
          <t>North</t>
        </is>
      </c>
      <c r="E69" t="inlineStr">
        <is>
          <t>Desk</t>
        </is>
      </c>
      <c r="F69" t="inlineStr">
        <is>
          <t>Furniture</t>
        </is>
      </c>
      <c r="G69" t="n">
        <v>3</v>
      </c>
      <c r="H69" s="9" t="n">
        <v>10176.15</v>
      </c>
      <c r="I69" s="12" t="n">
        <v>0.15</v>
      </c>
      <c r="J69" s="9" t="n">
        <v>25949.18</v>
      </c>
      <c r="K69" t="inlineStr">
        <is>
          <t>Retail</t>
        </is>
      </c>
    </row>
    <row r="70">
      <c r="A70" t="inlineStr">
        <is>
          <t>ORD0222</t>
        </is>
      </c>
      <c r="B70" s="11" t="n">
        <v>45743</v>
      </c>
      <c r="C70" t="inlineStr">
        <is>
          <t>Nagpur</t>
        </is>
      </c>
      <c r="D70" t="inlineStr">
        <is>
          <t>West</t>
        </is>
      </c>
      <c r="E70" t="inlineStr">
        <is>
          <t>Desk</t>
        </is>
      </c>
      <c r="F70" t="inlineStr">
        <is>
          <t>Furniture</t>
        </is>
      </c>
      <c r="G70" t="n">
        <v>5</v>
      </c>
      <c r="H70" s="9" t="n">
        <v>8904.559999999999</v>
      </c>
      <c r="I70" s="12" t="n">
        <v>0.1</v>
      </c>
      <c r="J70" s="9" t="n">
        <v>40070.52</v>
      </c>
      <c r="K70" t="inlineStr">
        <is>
          <t>Online</t>
        </is>
      </c>
    </row>
    <row r="71">
      <c r="A71" t="inlineStr">
        <is>
          <t>ORD0188</t>
        </is>
      </c>
      <c r="B71" s="11" t="n">
        <v>45744</v>
      </c>
      <c r="C71" t="inlineStr">
        <is>
          <t>Chennai</t>
        </is>
      </c>
      <c r="D71" t="inlineStr">
        <is>
          <t>West</t>
        </is>
      </c>
      <c r="E71" t="inlineStr">
        <is>
          <t>Office Chair</t>
        </is>
      </c>
      <c r="F71" t="inlineStr">
        <is>
          <t>Furniture</t>
        </is>
      </c>
      <c r="G71" t="n">
        <v>3</v>
      </c>
      <c r="H71" s="9" t="n">
        <v>7390.02</v>
      </c>
      <c r="I71" s="12" t="n">
        <v>0.1</v>
      </c>
      <c r="J71" s="9" t="n">
        <v>19953.05</v>
      </c>
      <c r="K71" t="inlineStr">
        <is>
          <t>Distributor</t>
        </is>
      </c>
    </row>
    <row r="72">
      <c r="A72" t="inlineStr">
        <is>
          <t>ORD0041</t>
        </is>
      </c>
      <c r="B72" s="11" t="n">
        <v>45745</v>
      </c>
      <c r="C72" t="inlineStr">
        <is>
          <t>Chennai</t>
        </is>
      </c>
      <c r="D72" t="inlineStr">
        <is>
          <t>West</t>
        </is>
      </c>
      <c r="E72" t="inlineStr">
        <is>
          <t>Office Chair</t>
        </is>
      </c>
      <c r="F72" t="inlineStr">
        <is>
          <t>Furniture</t>
        </is>
      </c>
      <c r="G72" t="n">
        <v>7</v>
      </c>
      <c r="H72" s="9" t="n">
        <v>7569.39</v>
      </c>
      <c r="I72" s="12" t="n">
        <v>0</v>
      </c>
      <c r="J72" s="9" t="n">
        <v>52985.73</v>
      </c>
      <c r="K72" t="inlineStr">
        <is>
          <t>Online</t>
        </is>
      </c>
    </row>
    <row r="73">
      <c r="A73" t="inlineStr">
        <is>
          <t>ORD0242</t>
        </is>
      </c>
      <c r="B73" s="11" t="n">
        <v>45745</v>
      </c>
      <c r="C73" t="inlineStr">
        <is>
          <t>Delhi</t>
        </is>
      </c>
      <c r="D73" t="inlineStr">
        <is>
          <t>South</t>
        </is>
      </c>
      <c r="E73" t="inlineStr">
        <is>
          <t>Keyboard</t>
        </is>
      </c>
      <c r="F73" t="inlineStr">
        <is>
          <t>Accessories</t>
        </is>
      </c>
      <c r="G73" t="n">
        <v>4</v>
      </c>
      <c r="H73" s="9" t="n">
        <v>1136.1</v>
      </c>
      <c r="I73" s="12" t="n">
        <v>0</v>
      </c>
      <c r="J73" s="9" t="n">
        <v>4544.4</v>
      </c>
      <c r="K73" t="inlineStr">
        <is>
          <t>Retail</t>
        </is>
      </c>
    </row>
    <row r="74">
      <c r="A74" t="inlineStr">
        <is>
          <t>ORD0279</t>
        </is>
      </c>
      <c r="B74" s="11" t="n">
        <v>45745</v>
      </c>
      <c r="C74" t="inlineStr">
        <is>
          <t>Thane</t>
        </is>
      </c>
      <c r="D74" t="inlineStr">
        <is>
          <t>North</t>
        </is>
      </c>
      <c r="E74" t="inlineStr">
        <is>
          <t>Desk</t>
        </is>
      </c>
      <c r="F74" t="inlineStr">
        <is>
          <t>Furniture</t>
        </is>
      </c>
      <c r="G74" t="n">
        <v>2</v>
      </c>
      <c r="H74" s="9" t="n">
        <v>9561.5</v>
      </c>
      <c r="I74" s="12" t="n">
        <v>0.1</v>
      </c>
      <c r="J74" s="9" t="n">
        <v>17210.7</v>
      </c>
      <c r="K74" t="inlineStr">
        <is>
          <t>Online</t>
        </is>
      </c>
    </row>
    <row r="75">
      <c r="A75" t="inlineStr">
        <is>
          <t>ORD0011</t>
        </is>
      </c>
      <c r="B75" s="11" t="n">
        <v>45745</v>
      </c>
      <c r="C75" t="inlineStr">
        <is>
          <t>Mumbai</t>
        </is>
      </c>
      <c r="D75" t="inlineStr">
        <is>
          <t>North</t>
        </is>
      </c>
      <c r="E75" t="inlineStr">
        <is>
          <t>Pen Pack</t>
        </is>
      </c>
      <c r="F75" t="inlineStr">
        <is>
          <t>Stationery</t>
        </is>
      </c>
      <c r="G75" t="n">
        <v>8</v>
      </c>
      <c r="H75" s="9" t="n">
        <v>145.23</v>
      </c>
      <c r="I75" s="12" t="n">
        <v>0</v>
      </c>
      <c r="J75" s="9" t="n">
        <v>1161.84</v>
      </c>
      <c r="K75" t="inlineStr">
        <is>
          <t>Retail</t>
        </is>
      </c>
    </row>
    <row r="76">
      <c r="A76" t="inlineStr">
        <is>
          <t>ORD0256</t>
        </is>
      </c>
      <c r="B76" s="11" t="n">
        <v>45746</v>
      </c>
      <c r="C76" t="inlineStr">
        <is>
          <t>Pune</t>
        </is>
      </c>
      <c r="D76" t="inlineStr">
        <is>
          <t>South</t>
        </is>
      </c>
      <c r="E76" t="inlineStr">
        <is>
          <t>USB Drive</t>
        </is>
      </c>
      <c r="F76" t="inlineStr">
        <is>
          <t>Accessories</t>
        </is>
      </c>
      <c r="G76" t="n">
        <v>8</v>
      </c>
      <c r="H76" s="9" t="n">
        <v>579.91</v>
      </c>
      <c r="I76" s="12" t="n">
        <v>0</v>
      </c>
      <c r="J76" s="9" t="n">
        <v>4639.28</v>
      </c>
      <c r="K76" t="inlineStr">
        <is>
          <t>Retail</t>
        </is>
      </c>
    </row>
    <row r="77">
      <c r="A77" t="inlineStr">
        <is>
          <t>ORD0095</t>
        </is>
      </c>
      <c r="B77" s="11" t="n">
        <v>45747</v>
      </c>
      <c r="C77" t="inlineStr">
        <is>
          <t>Bengaluru</t>
        </is>
      </c>
      <c r="D77" t="inlineStr">
        <is>
          <t>North</t>
        </is>
      </c>
      <c r="E77" t="inlineStr">
        <is>
          <t>Desk</t>
        </is>
      </c>
      <c r="F77" t="inlineStr">
        <is>
          <t>Furniture</t>
        </is>
      </c>
      <c r="G77" t="n">
        <v>6</v>
      </c>
      <c r="H77" s="9" t="n">
        <v>9300.639999999999</v>
      </c>
      <c r="I77" s="12" t="n">
        <v>0.15</v>
      </c>
      <c r="J77" s="9" t="n">
        <v>47433.26</v>
      </c>
      <c r="K77" t="inlineStr">
        <is>
          <t>Distributor</t>
        </is>
      </c>
    </row>
    <row r="78">
      <c r="A78" t="inlineStr">
        <is>
          <t>ORD0195</t>
        </is>
      </c>
      <c r="B78" s="11" t="n">
        <v>45750</v>
      </c>
      <c r="C78" t="inlineStr">
        <is>
          <t>Mumbai</t>
        </is>
      </c>
      <c r="D78" t="inlineStr">
        <is>
          <t>West</t>
        </is>
      </c>
      <c r="E78" t="inlineStr">
        <is>
          <t>Monitor</t>
        </is>
      </c>
      <c r="F78" t="inlineStr">
        <is>
          <t>Electronics</t>
        </is>
      </c>
      <c r="G78" t="n">
        <v>2</v>
      </c>
      <c r="H78" s="9" t="n">
        <v>12885.08</v>
      </c>
      <c r="I78" s="12" t="n">
        <v>0</v>
      </c>
      <c r="J78" s="9" t="n">
        <v>25770.16</v>
      </c>
      <c r="K78" t="inlineStr">
        <is>
          <t>Online</t>
        </is>
      </c>
    </row>
    <row r="79">
      <c r="A79" t="inlineStr">
        <is>
          <t>ORD0058</t>
        </is>
      </c>
      <c r="B79" s="11" t="n">
        <v>45750</v>
      </c>
      <c r="C79" t="inlineStr">
        <is>
          <t>Pune</t>
        </is>
      </c>
      <c r="D79" t="inlineStr">
        <is>
          <t>East</t>
        </is>
      </c>
      <c r="E79" t="inlineStr">
        <is>
          <t>Desk</t>
        </is>
      </c>
      <c r="F79" t="inlineStr">
        <is>
          <t>Furniture</t>
        </is>
      </c>
      <c r="G79" t="n">
        <v>6</v>
      </c>
      <c r="H79" s="9" t="n">
        <v>10181</v>
      </c>
      <c r="I79" s="12" t="n">
        <v>0.15</v>
      </c>
      <c r="J79" s="9" t="n">
        <v>51923.1</v>
      </c>
      <c r="K79" t="inlineStr">
        <is>
          <t>Retail</t>
        </is>
      </c>
    </row>
    <row r="80">
      <c r="A80" t="inlineStr">
        <is>
          <t>ORD0078</t>
        </is>
      </c>
      <c r="B80" s="11" t="n">
        <v>45754</v>
      </c>
      <c r="C80" t="inlineStr">
        <is>
          <t>Chennai</t>
        </is>
      </c>
      <c r="D80" t="inlineStr">
        <is>
          <t>East</t>
        </is>
      </c>
      <c r="E80" t="inlineStr">
        <is>
          <t>Office Chair</t>
        </is>
      </c>
      <c r="F80" t="inlineStr">
        <is>
          <t>Furniture</t>
        </is>
      </c>
      <c r="G80" t="n">
        <v>2</v>
      </c>
      <c r="H80" s="9" t="n">
        <v>8152.95</v>
      </c>
      <c r="I80" s="12" t="n">
        <v>0</v>
      </c>
      <c r="J80" s="9" t="n">
        <v>16305.9</v>
      </c>
      <c r="K80" t="inlineStr">
        <is>
          <t>Distributor</t>
        </is>
      </c>
    </row>
    <row r="81">
      <c r="A81" t="inlineStr">
        <is>
          <t>ORD0054</t>
        </is>
      </c>
      <c r="B81" s="11" t="n">
        <v>45755</v>
      </c>
      <c r="C81" t="inlineStr">
        <is>
          <t>Thane</t>
        </is>
      </c>
      <c r="D81" t="inlineStr">
        <is>
          <t>West</t>
        </is>
      </c>
      <c r="E81" t="inlineStr">
        <is>
          <t>Laptop</t>
        </is>
      </c>
      <c r="F81" t="inlineStr">
        <is>
          <t>Electronics</t>
        </is>
      </c>
      <c r="G81" t="n">
        <v>3</v>
      </c>
      <c r="H81" s="9" t="n">
        <v>53409.58</v>
      </c>
      <c r="I81" s="12" t="n">
        <v>0</v>
      </c>
      <c r="J81" s="9" t="n">
        <v>160228.74</v>
      </c>
      <c r="K81" t="inlineStr">
        <is>
          <t>Retail</t>
        </is>
      </c>
    </row>
    <row r="82">
      <c r="A82" t="inlineStr">
        <is>
          <t>ORD0007</t>
        </is>
      </c>
      <c r="B82" s="11" t="n">
        <v>45756</v>
      </c>
      <c r="C82" t="inlineStr">
        <is>
          <t>Chennai</t>
        </is>
      </c>
      <c r="D82" t="inlineStr">
        <is>
          <t>West</t>
        </is>
      </c>
      <c r="E82" t="inlineStr">
        <is>
          <t>Keyboard</t>
        </is>
      </c>
      <c r="F82" t="inlineStr">
        <is>
          <t>Accessories</t>
        </is>
      </c>
      <c r="G82" t="n">
        <v>3</v>
      </c>
      <c r="H82" s="9" t="n">
        <v>1224.25</v>
      </c>
      <c r="I82" s="12" t="n">
        <v>0</v>
      </c>
      <c r="J82" s="9" t="n">
        <v>3672.75</v>
      </c>
      <c r="K82" t="inlineStr">
        <is>
          <t>Retail</t>
        </is>
      </c>
    </row>
    <row r="83">
      <c r="A83" t="inlineStr">
        <is>
          <t>ORD0057</t>
        </is>
      </c>
      <c r="B83" s="11" t="n">
        <v>45758</v>
      </c>
      <c r="C83" t="inlineStr">
        <is>
          <t>Bengaluru</t>
        </is>
      </c>
      <c r="D83" t="inlineStr">
        <is>
          <t>East</t>
        </is>
      </c>
      <c r="E83" t="inlineStr">
        <is>
          <t>Office Chair</t>
        </is>
      </c>
      <c r="F83" t="inlineStr">
        <is>
          <t>Furniture</t>
        </is>
      </c>
      <c r="G83" t="n">
        <v>3</v>
      </c>
      <c r="H83" s="9" t="n">
        <v>8308.26</v>
      </c>
      <c r="I83" s="12" t="n">
        <v>0.05</v>
      </c>
      <c r="J83" s="9" t="n">
        <v>23678.54</v>
      </c>
      <c r="K83" t="inlineStr">
        <is>
          <t>Retail</t>
        </is>
      </c>
    </row>
    <row r="84">
      <c r="A84" t="inlineStr">
        <is>
          <t>ORD0261</t>
        </is>
      </c>
      <c r="B84" s="11" t="n">
        <v>45760</v>
      </c>
      <c r="C84" t="inlineStr">
        <is>
          <t>Pune</t>
        </is>
      </c>
      <c r="D84" t="inlineStr">
        <is>
          <t>South</t>
        </is>
      </c>
      <c r="E84" t="inlineStr">
        <is>
          <t>Mouse</t>
        </is>
      </c>
      <c r="F84" t="inlineStr">
        <is>
          <t>Accessories</t>
        </is>
      </c>
      <c r="G84" t="n">
        <v>3</v>
      </c>
      <c r="H84" s="9" t="n">
        <v>651.89</v>
      </c>
      <c r="I84" s="12" t="n">
        <v>0.05</v>
      </c>
      <c r="J84" s="9" t="n">
        <v>1857.89</v>
      </c>
      <c r="K84" t="inlineStr">
        <is>
          <t>Online</t>
        </is>
      </c>
    </row>
    <row r="85">
      <c r="A85" t="inlineStr">
        <is>
          <t>ORD0156</t>
        </is>
      </c>
      <c r="B85" s="11" t="n">
        <v>45760</v>
      </c>
      <c r="C85" t="inlineStr">
        <is>
          <t>Thane</t>
        </is>
      </c>
      <c r="D85" t="inlineStr">
        <is>
          <t>North</t>
        </is>
      </c>
      <c r="E85" t="inlineStr">
        <is>
          <t>Laptop</t>
        </is>
      </c>
      <c r="F85" t="inlineStr">
        <is>
          <t>Electronics</t>
        </is>
      </c>
      <c r="G85" t="n">
        <v>5</v>
      </c>
      <c r="H85" s="9" t="n">
        <v>54524.71</v>
      </c>
      <c r="I85" s="12" t="n">
        <v>0.1</v>
      </c>
      <c r="J85" s="9" t="n">
        <v>245361.2</v>
      </c>
      <c r="K85" t="inlineStr">
        <is>
          <t>Online</t>
        </is>
      </c>
    </row>
    <row r="86">
      <c r="A86" t="inlineStr">
        <is>
          <t>ORD0197</t>
        </is>
      </c>
      <c r="B86" s="11" t="n">
        <v>45760</v>
      </c>
      <c r="C86" t="inlineStr">
        <is>
          <t>Delhi</t>
        </is>
      </c>
      <c r="D86" t="inlineStr">
        <is>
          <t>North</t>
        </is>
      </c>
      <c r="E86" t="inlineStr">
        <is>
          <t>Keyboard</t>
        </is>
      </c>
      <c r="F86" t="inlineStr">
        <is>
          <t>Accessories</t>
        </is>
      </c>
      <c r="G86" t="n">
        <v>3</v>
      </c>
      <c r="H86" s="9" t="n">
        <v>1154.86</v>
      </c>
      <c r="I86" s="12" t="n">
        <v>0.1</v>
      </c>
      <c r="J86" s="9" t="n">
        <v>3118.12</v>
      </c>
      <c r="K86" t="inlineStr">
        <is>
          <t>Distributor</t>
        </is>
      </c>
    </row>
    <row r="87">
      <c r="A87" t="inlineStr">
        <is>
          <t>ORD0089</t>
        </is>
      </c>
      <c r="B87" s="11" t="n">
        <v>45764</v>
      </c>
      <c r="C87" t="inlineStr">
        <is>
          <t>Nashik</t>
        </is>
      </c>
      <c r="D87" t="inlineStr">
        <is>
          <t>West</t>
        </is>
      </c>
      <c r="E87" t="inlineStr">
        <is>
          <t>Headphones</t>
        </is>
      </c>
      <c r="F87" t="inlineStr">
        <is>
          <t>Electronics</t>
        </is>
      </c>
      <c r="G87" t="n">
        <v>7</v>
      </c>
      <c r="H87" s="9" t="n">
        <v>1789.54</v>
      </c>
      <c r="I87" s="12" t="n">
        <v>0.1</v>
      </c>
      <c r="J87" s="9" t="n">
        <v>11274.1</v>
      </c>
      <c r="K87" t="inlineStr">
        <is>
          <t>Online</t>
        </is>
      </c>
    </row>
    <row r="88">
      <c r="A88" t="inlineStr">
        <is>
          <t>ORD0070</t>
        </is>
      </c>
      <c r="B88" s="11" t="n">
        <v>45765</v>
      </c>
      <c r="C88" t="inlineStr">
        <is>
          <t>Bengaluru</t>
        </is>
      </c>
      <c r="D88" t="inlineStr">
        <is>
          <t>East</t>
        </is>
      </c>
      <c r="E88" t="inlineStr">
        <is>
          <t>Desk</t>
        </is>
      </c>
      <c r="F88" t="inlineStr">
        <is>
          <t>Furniture</t>
        </is>
      </c>
      <c r="G88" t="n">
        <v>3</v>
      </c>
      <c r="H88" s="9" t="n">
        <v>9939.969999999999</v>
      </c>
      <c r="I88" s="12" t="n">
        <v>0</v>
      </c>
      <c r="J88" s="9" t="n">
        <v>29819.91</v>
      </c>
      <c r="K88" t="inlineStr">
        <is>
          <t>Retail</t>
        </is>
      </c>
    </row>
    <row r="89">
      <c r="A89" t="inlineStr">
        <is>
          <t>ORD0275</t>
        </is>
      </c>
      <c r="B89" s="11" t="n">
        <v>45766</v>
      </c>
      <c r="C89" t="inlineStr">
        <is>
          <t>Nashik</t>
        </is>
      </c>
      <c r="D89" t="inlineStr">
        <is>
          <t>South</t>
        </is>
      </c>
      <c r="E89" t="inlineStr">
        <is>
          <t>Monitor</t>
        </is>
      </c>
      <c r="F89" t="inlineStr">
        <is>
          <t>Electronics</t>
        </is>
      </c>
      <c r="G89" t="n">
        <v>7</v>
      </c>
      <c r="H89" s="9" t="n">
        <v>13281.48</v>
      </c>
      <c r="I89" s="12" t="n">
        <v>0.05</v>
      </c>
      <c r="J89" s="9" t="n">
        <v>88321.84</v>
      </c>
      <c r="K89" t="inlineStr">
        <is>
          <t>Distributor</t>
        </is>
      </c>
    </row>
    <row r="90">
      <c r="A90" t="inlineStr">
        <is>
          <t>ORD0263</t>
        </is>
      </c>
      <c r="B90" s="11" t="n">
        <v>45767</v>
      </c>
      <c r="C90" t="inlineStr">
        <is>
          <t>Delhi</t>
        </is>
      </c>
      <c r="D90" t="inlineStr">
        <is>
          <t>East</t>
        </is>
      </c>
      <c r="E90" t="inlineStr">
        <is>
          <t>Monitor</t>
        </is>
      </c>
      <c r="F90" t="inlineStr">
        <is>
          <t>Electronics</t>
        </is>
      </c>
      <c r="G90" t="n">
        <v>1</v>
      </c>
      <c r="H90" s="9" t="n">
        <v>12142.52</v>
      </c>
      <c r="I90" s="12" t="n">
        <v>0.15</v>
      </c>
      <c r="J90" s="9" t="n">
        <v>10321.14</v>
      </c>
      <c r="K90" t="inlineStr">
        <is>
          <t>Distributor</t>
        </is>
      </c>
    </row>
    <row r="91">
      <c r="A91" t="inlineStr">
        <is>
          <t>ORD0252</t>
        </is>
      </c>
      <c r="B91" s="11" t="n">
        <v>45769</v>
      </c>
      <c r="C91" t="inlineStr">
        <is>
          <t>Pune</t>
        </is>
      </c>
      <c r="D91" t="inlineStr">
        <is>
          <t>North</t>
        </is>
      </c>
      <c r="E91" t="inlineStr">
        <is>
          <t>Laptop</t>
        </is>
      </c>
      <c r="F91" t="inlineStr">
        <is>
          <t>Electronics</t>
        </is>
      </c>
      <c r="G91" t="n">
        <v>1</v>
      </c>
      <c r="H91" s="9" t="n">
        <v>53681.9</v>
      </c>
      <c r="I91" s="12" t="n">
        <v>0.1</v>
      </c>
      <c r="J91" s="9" t="n">
        <v>48313.71</v>
      </c>
      <c r="K91" t="inlineStr">
        <is>
          <t>Online</t>
        </is>
      </c>
    </row>
    <row r="92">
      <c r="A92" t="inlineStr">
        <is>
          <t>ORD0099</t>
        </is>
      </c>
      <c r="B92" s="11" t="n">
        <v>45769</v>
      </c>
      <c r="C92" t="inlineStr">
        <is>
          <t>Pune</t>
        </is>
      </c>
      <c r="D92" t="inlineStr">
        <is>
          <t>East</t>
        </is>
      </c>
      <c r="E92" t="inlineStr">
        <is>
          <t>Pen Pack</t>
        </is>
      </c>
      <c r="F92" t="inlineStr">
        <is>
          <t>Stationery</t>
        </is>
      </c>
      <c r="G92" t="n">
        <v>3</v>
      </c>
      <c r="H92" s="9" t="n">
        <v>155.74</v>
      </c>
      <c r="I92" s="12" t="n">
        <v>0.05</v>
      </c>
      <c r="J92" s="9" t="n">
        <v>443.86</v>
      </c>
      <c r="K92" t="inlineStr">
        <is>
          <t>Online</t>
        </is>
      </c>
    </row>
    <row r="93">
      <c r="A93" t="inlineStr">
        <is>
          <t>ORD0235</t>
        </is>
      </c>
      <c r="B93" s="11" t="n">
        <v>45769</v>
      </c>
      <c r="C93" t="inlineStr">
        <is>
          <t>Chennai</t>
        </is>
      </c>
      <c r="D93" t="inlineStr">
        <is>
          <t>South</t>
        </is>
      </c>
      <c r="E93" t="inlineStr">
        <is>
          <t>Desk</t>
        </is>
      </c>
      <c r="F93" t="inlineStr">
        <is>
          <t>Furniture</t>
        </is>
      </c>
      <c r="G93" t="n">
        <v>3</v>
      </c>
      <c r="H93" s="9" t="n">
        <v>9456.559999999999</v>
      </c>
      <c r="I93" s="12" t="n">
        <v>0.05</v>
      </c>
      <c r="J93" s="9" t="n">
        <v>26951.2</v>
      </c>
      <c r="K93" t="inlineStr">
        <is>
          <t>Retail</t>
        </is>
      </c>
    </row>
    <row r="94">
      <c r="A94" t="inlineStr">
        <is>
          <t>ORD0107</t>
        </is>
      </c>
      <c r="B94" s="11" t="n">
        <v>45770</v>
      </c>
      <c r="C94" t="inlineStr">
        <is>
          <t>Pune</t>
        </is>
      </c>
      <c r="D94" t="inlineStr">
        <is>
          <t>South</t>
        </is>
      </c>
      <c r="E94" t="inlineStr">
        <is>
          <t>Keyboard</t>
        </is>
      </c>
      <c r="F94" t="inlineStr">
        <is>
          <t>Accessories</t>
        </is>
      </c>
      <c r="G94" t="n">
        <v>4</v>
      </c>
      <c r="H94" s="9" t="n">
        <v>1129.88</v>
      </c>
      <c r="I94" s="12" t="n">
        <v>0.1</v>
      </c>
      <c r="J94" s="9" t="n">
        <v>4067.57</v>
      </c>
      <c r="K94" t="inlineStr">
        <is>
          <t>Distributor</t>
        </is>
      </c>
    </row>
    <row r="95">
      <c r="A95" t="inlineStr">
        <is>
          <t>ORD0169</t>
        </is>
      </c>
      <c r="B95" s="11" t="n">
        <v>45770</v>
      </c>
      <c r="C95" t="inlineStr">
        <is>
          <t>Thane</t>
        </is>
      </c>
      <c r="D95" t="inlineStr">
        <is>
          <t>West</t>
        </is>
      </c>
      <c r="E95" t="inlineStr">
        <is>
          <t>Office Chair</t>
        </is>
      </c>
      <c r="F95" t="inlineStr">
        <is>
          <t>Furniture</t>
        </is>
      </c>
      <c r="G95" t="n">
        <v>1</v>
      </c>
      <c r="H95" s="9" t="n">
        <v>7635.91</v>
      </c>
      <c r="I95" s="12" t="n">
        <v>0.05</v>
      </c>
      <c r="J95" s="9" t="n">
        <v>7254.11</v>
      </c>
      <c r="K95" t="inlineStr">
        <is>
          <t>Online</t>
        </is>
      </c>
    </row>
    <row r="96">
      <c r="A96" t="inlineStr">
        <is>
          <t>ORD0019</t>
        </is>
      </c>
      <c r="B96" s="11" t="n">
        <v>45772</v>
      </c>
      <c r="C96" t="inlineStr">
        <is>
          <t>Mumbai</t>
        </is>
      </c>
      <c r="D96" t="inlineStr">
        <is>
          <t>South</t>
        </is>
      </c>
      <c r="E96" t="inlineStr">
        <is>
          <t>Keyboard</t>
        </is>
      </c>
      <c r="F96" t="inlineStr">
        <is>
          <t>Accessories</t>
        </is>
      </c>
      <c r="G96" t="n">
        <v>1</v>
      </c>
      <c r="H96" s="9" t="n">
        <v>1192</v>
      </c>
      <c r="I96" s="12" t="n">
        <v>0</v>
      </c>
      <c r="J96" s="9" t="n">
        <v>1192</v>
      </c>
      <c r="K96" t="inlineStr">
        <is>
          <t>Distributor</t>
        </is>
      </c>
    </row>
    <row r="97">
      <c r="A97" t="inlineStr">
        <is>
          <t>ORD0232</t>
        </is>
      </c>
      <c r="B97" s="11" t="n">
        <v>45780</v>
      </c>
      <c r="C97" t="inlineStr">
        <is>
          <t>Mumbai</t>
        </is>
      </c>
      <c r="D97" t="inlineStr">
        <is>
          <t>North</t>
        </is>
      </c>
      <c r="E97" t="inlineStr">
        <is>
          <t>Laptop</t>
        </is>
      </c>
      <c r="F97" t="inlineStr">
        <is>
          <t>Electronics</t>
        </is>
      </c>
      <c r="G97" t="n">
        <v>6</v>
      </c>
      <c r="H97" s="9" t="n">
        <v>51383.27</v>
      </c>
      <c r="I97" s="12" t="n">
        <v>0.15</v>
      </c>
      <c r="J97" s="9" t="n">
        <v>262054.68</v>
      </c>
      <c r="K97" t="inlineStr">
        <is>
          <t>Retail</t>
        </is>
      </c>
    </row>
    <row r="98">
      <c r="A98" t="inlineStr">
        <is>
          <t>ORD0157</t>
        </is>
      </c>
      <c r="B98" s="11" t="n">
        <v>45781</v>
      </c>
      <c r="C98" t="inlineStr">
        <is>
          <t>Bengaluru</t>
        </is>
      </c>
      <c r="D98" t="inlineStr">
        <is>
          <t>East</t>
        </is>
      </c>
      <c r="E98" t="inlineStr">
        <is>
          <t>Monitor</t>
        </is>
      </c>
      <c r="F98" t="inlineStr">
        <is>
          <t>Electronics</t>
        </is>
      </c>
      <c r="G98" t="n">
        <v>5</v>
      </c>
      <c r="H98" s="9" t="n">
        <v>12651.87</v>
      </c>
      <c r="I98" s="12" t="n">
        <v>0.1</v>
      </c>
      <c r="J98" s="9" t="n">
        <v>56933.42</v>
      </c>
      <c r="K98" t="inlineStr">
        <is>
          <t>Online</t>
        </is>
      </c>
    </row>
    <row r="99">
      <c r="A99" t="inlineStr">
        <is>
          <t>ORD0225</t>
        </is>
      </c>
      <c r="B99" s="11" t="n">
        <v>45781</v>
      </c>
      <c r="C99" t="inlineStr">
        <is>
          <t>Nashik</t>
        </is>
      </c>
      <c r="D99" t="inlineStr">
        <is>
          <t>East</t>
        </is>
      </c>
      <c r="E99" t="inlineStr">
        <is>
          <t>Desk</t>
        </is>
      </c>
      <c r="F99" t="inlineStr">
        <is>
          <t>Furniture</t>
        </is>
      </c>
      <c r="G99" t="n">
        <v>8</v>
      </c>
      <c r="H99" s="9" t="n">
        <v>9760.41</v>
      </c>
      <c r="I99" s="12" t="n">
        <v>0.05</v>
      </c>
      <c r="J99" s="9" t="n">
        <v>74179.12</v>
      </c>
      <c r="K99" t="inlineStr">
        <is>
          <t>Retail</t>
        </is>
      </c>
    </row>
    <row r="100">
      <c r="A100" t="inlineStr">
        <is>
          <t>ORD0161</t>
        </is>
      </c>
      <c r="B100" s="11" t="n">
        <v>45782</v>
      </c>
      <c r="C100" t="inlineStr">
        <is>
          <t>Nagpur</t>
        </is>
      </c>
      <c r="D100" t="inlineStr">
        <is>
          <t>West</t>
        </is>
      </c>
      <c r="E100" t="inlineStr">
        <is>
          <t>USB Drive</t>
        </is>
      </c>
      <c r="F100" t="inlineStr">
        <is>
          <t>Accessories</t>
        </is>
      </c>
      <c r="G100" t="n">
        <v>1</v>
      </c>
      <c r="H100" s="9" t="n">
        <v>560.51</v>
      </c>
      <c r="I100" s="12" t="n">
        <v>0.05</v>
      </c>
      <c r="J100" s="9" t="n">
        <v>532.48</v>
      </c>
      <c r="K100" t="inlineStr">
        <is>
          <t>Retail</t>
        </is>
      </c>
    </row>
    <row r="101">
      <c r="A101" t="inlineStr">
        <is>
          <t>ORD0264</t>
        </is>
      </c>
      <c r="B101" s="11" t="n">
        <v>45783</v>
      </c>
      <c r="C101" t="inlineStr">
        <is>
          <t>Thane</t>
        </is>
      </c>
      <c r="D101" t="inlineStr">
        <is>
          <t>West</t>
        </is>
      </c>
      <c r="E101" t="inlineStr">
        <is>
          <t>Desk</t>
        </is>
      </c>
      <c r="F101" t="inlineStr">
        <is>
          <t>Furniture</t>
        </is>
      </c>
      <c r="G101" t="n">
        <v>3</v>
      </c>
      <c r="H101" s="9" t="n">
        <v>9657.57</v>
      </c>
      <c r="I101" s="12" t="n">
        <v>0.15</v>
      </c>
      <c r="J101" s="9" t="n">
        <v>24626.8</v>
      </c>
      <c r="K101" t="inlineStr">
        <is>
          <t>Distributor</t>
        </is>
      </c>
    </row>
    <row r="102">
      <c r="A102" t="inlineStr">
        <is>
          <t>ORD0273</t>
        </is>
      </c>
      <c r="B102" s="11" t="n">
        <v>45783</v>
      </c>
      <c r="C102" t="inlineStr">
        <is>
          <t>Bengaluru</t>
        </is>
      </c>
      <c r="D102" t="inlineStr">
        <is>
          <t>West</t>
        </is>
      </c>
      <c r="E102" t="inlineStr">
        <is>
          <t>Keyboard</t>
        </is>
      </c>
      <c r="F102" t="inlineStr">
        <is>
          <t>Accessories</t>
        </is>
      </c>
      <c r="G102" t="n">
        <v>5</v>
      </c>
      <c r="H102" s="9" t="n">
        <v>1216.27</v>
      </c>
      <c r="I102" s="12" t="n">
        <v>0.1</v>
      </c>
      <c r="J102" s="9" t="n">
        <v>5473.22</v>
      </c>
      <c r="K102" t="inlineStr">
        <is>
          <t>Distributor</t>
        </is>
      </c>
    </row>
    <row r="103">
      <c r="A103" t="inlineStr">
        <is>
          <t>ORD0034</t>
        </is>
      </c>
      <c r="B103" s="11" t="n">
        <v>45785</v>
      </c>
      <c r="C103" t="inlineStr">
        <is>
          <t>Thane</t>
        </is>
      </c>
      <c r="D103" t="inlineStr">
        <is>
          <t>East</t>
        </is>
      </c>
      <c r="E103" t="inlineStr">
        <is>
          <t>Pen Pack</t>
        </is>
      </c>
      <c r="F103" t="inlineStr">
        <is>
          <t>Stationery</t>
        </is>
      </c>
      <c r="G103" t="n">
        <v>3</v>
      </c>
      <c r="H103" s="9" t="n">
        <v>155.79</v>
      </c>
      <c r="I103" s="12" t="n">
        <v>0.1</v>
      </c>
      <c r="J103" s="9" t="n">
        <v>420.63</v>
      </c>
      <c r="K103" t="inlineStr">
        <is>
          <t>Retail</t>
        </is>
      </c>
    </row>
    <row r="104">
      <c r="A104" t="inlineStr">
        <is>
          <t>ORD0043</t>
        </is>
      </c>
      <c r="B104" s="11" t="n">
        <v>45786</v>
      </c>
      <c r="C104" t="inlineStr">
        <is>
          <t>Bengaluru</t>
        </is>
      </c>
      <c r="D104" t="inlineStr">
        <is>
          <t>North</t>
        </is>
      </c>
      <c r="E104" t="inlineStr">
        <is>
          <t>Headphones</t>
        </is>
      </c>
      <c r="F104" t="inlineStr">
        <is>
          <t>Electronics</t>
        </is>
      </c>
      <c r="G104" t="n">
        <v>3</v>
      </c>
      <c r="H104" s="9" t="n">
        <v>1842.29</v>
      </c>
      <c r="I104" s="12" t="n">
        <v>0.15</v>
      </c>
      <c r="J104" s="9" t="n">
        <v>4697.84</v>
      </c>
      <c r="K104" t="inlineStr">
        <is>
          <t>Distributor</t>
        </is>
      </c>
    </row>
    <row r="105">
      <c r="A105" t="inlineStr">
        <is>
          <t>ORD0115</t>
        </is>
      </c>
      <c r="B105" s="11" t="n">
        <v>45789</v>
      </c>
      <c r="C105" t="inlineStr">
        <is>
          <t>Bengaluru</t>
        </is>
      </c>
      <c r="D105" t="inlineStr">
        <is>
          <t>South</t>
        </is>
      </c>
      <c r="E105" t="inlineStr">
        <is>
          <t>Notebook</t>
        </is>
      </c>
      <c r="F105" t="inlineStr">
        <is>
          <t>Stationery</t>
        </is>
      </c>
      <c r="G105" t="n">
        <v>2</v>
      </c>
      <c r="H105" s="9" t="n">
        <v>95.36</v>
      </c>
      <c r="I105" s="12" t="n">
        <v>0.1</v>
      </c>
      <c r="J105" s="9" t="n">
        <v>171.65</v>
      </c>
      <c r="K105" t="inlineStr">
        <is>
          <t>Distributor</t>
        </is>
      </c>
    </row>
    <row r="106">
      <c r="A106" t="inlineStr">
        <is>
          <t>ORD0203</t>
        </is>
      </c>
      <c r="B106" s="11" t="n">
        <v>45790</v>
      </c>
      <c r="C106" t="inlineStr">
        <is>
          <t>Nashik</t>
        </is>
      </c>
      <c r="D106" t="inlineStr">
        <is>
          <t>East</t>
        </is>
      </c>
      <c r="E106" t="inlineStr">
        <is>
          <t>Monitor</t>
        </is>
      </c>
      <c r="F106" t="inlineStr">
        <is>
          <t>Electronics</t>
        </is>
      </c>
      <c r="G106" t="n">
        <v>7</v>
      </c>
      <c r="H106" s="9" t="n">
        <v>13348.08</v>
      </c>
      <c r="I106" s="12" t="n">
        <v>0</v>
      </c>
      <c r="J106" s="9" t="n">
        <v>93436.56</v>
      </c>
      <c r="K106" t="inlineStr">
        <is>
          <t>Distributor</t>
        </is>
      </c>
    </row>
    <row r="107">
      <c r="A107" t="inlineStr">
        <is>
          <t>ORD0138</t>
        </is>
      </c>
      <c r="B107" s="11" t="n">
        <v>45790</v>
      </c>
      <c r="C107" t="inlineStr">
        <is>
          <t>Delhi</t>
        </is>
      </c>
      <c r="D107" t="inlineStr">
        <is>
          <t>North</t>
        </is>
      </c>
      <c r="E107" t="inlineStr">
        <is>
          <t>Office Chair</t>
        </is>
      </c>
      <c r="F107" t="inlineStr">
        <is>
          <t>Furniture</t>
        </is>
      </c>
      <c r="G107" t="n">
        <v>3</v>
      </c>
      <c r="H107" s="9" t="n">
        <v>7383.71</v>
      </c>
      <c r="I107" s="12" t="n">
        <v>0.1</v>
      </c>
      <c r="J107" s="9" t="n">
        <v>19936.02</v>
      </c>
      <c r="K107" t="inlineStr">
        <is>
          <t>Online</t>
        </is>
      </c>
    </row>
    <row r="108">
      <c r="A108" t="inlineStr">
        <is>
          <t>ORD0212</t>
        </is>
      </c>
      <c r="B108" s="11" t="n">
        <v>45791</v>
      </c>
      <c r="C108" t="inlineStr">
        <is>
          <t>Chennai</t>
        </is>
      </c>
      <c r="D108" t="inlineStr">
        <is>
          <t>West</t>
        </is>
      </c>
      <c r="E108" t="inlineStr">
        <is>
          <t>USB Drive</t>
        </is>
      </c>
      <c r="F108" t="inlineStr">
        <is>
          <t>Accessories</t>
        </is>
      </c>
      <c r="G108" t="n">
        <v>5</v>
      </c>
      <c r="H108" s="9" t="n">
        <v>520.02</v>
      </c>
      <c r="I108" s="12" t="n">
        <v>0</v>
      </c>
      <c r="J108" s="9" t="n">
        <v>2600.1</v>
      </c>
      <c r="K108" t="inlineStr">
        <is>
          <t>Retail</t>
        </is>
      </c>
    </row>
    <row r="109">
      <c r="A109" t="inlineStr">
        <is>
          <t>ORD0177</t>
        </is>
      </c>
      <c r="B109" s="11" t="n">
        <v>45791</v>
      </c>
      <c r="C109" t="inlineStr">
        <is>
          <t>Pune</t>
        </is>
      </c>
      <c r="D109" t="inlineStr">
        <is>
          <t>North</t>
        </is>
      </c>
      <c r="E109" t="inlineStr">
        <is>
          <t>USB Drive</t>
        </is>
      </c>
      <c r="F109" t="inlineStr">
        <is>
          <t>Accessories</t>
        </is>
      </c>
      <c r="G109" t="n">
        <v>2</v>
      </c>
      <c r="H109" s="9" t="n">
        <v>569</v>
      </c>
      <c r="I109" s="12" t="n">
        <v>0.15</v>
      </c>
      <c r="J109" s="9" t="n">
        <v>967.3</v>
      </c>
      <c r="K109" t="inlineStr">
        <is>
          <t>Online</t>
        </is>
      </c>
    </row>
    <row r="110">
      <c r="A110" t="inlineStr">
        <is>
          <t>ORD0016</t>
        </is>
      </c>
      <c r="B110" s="11" t="n">
        <v>45793</v>
      </c>
      <c r="C110" t="inlineStr">
        <is>
          <t>Nagpur</t>
        </is>
      </c>
      <c r="D110" t="inlineStr">
        <is>
          <t>West</t>
        </is>
      </c>
      <c r="E110" t="inlineStr">
        <is>
          <t>Monitor</t>
        </is>
      </c>
      <c r="F110" t="inlineStr">
        <is>
          <t>Electronics</t>
        </is>
      </c>
      <c r="G110" t="n">
        <v>6</v>
      </c>
      <c r="H110" s="9" t="n">
        <v>11623.09</v>
      </c>
      <c r="I110" s="12" t="n">
        <v>0.05</v>
      </c>
      <c r="J110" s="9" t="n">
        <v>66251.61</v>
      </c>
      <c r="K110" t="inlineStr">
        <is>
          <t>Online</t>
        </is>
      </c>
    </row>
    <row r="111">
      <c r="A111" t="inlineStr">
        <is>
          <t>ORD0023</t>
        </is>
      </c>
      <c r="B111" s="11" t="n">
        <v>45798</v>
      </c>
      <c r="C111" t="inlineStr">
        <is>
          <t>Nashik</t>
        </is>
      </c>
      <c r="D111" t="inlineStr">
        <is>
          <t>East</t>
        </is>
      </c>
      <c r="E111" t="inlineStr">
        <is>
          <t>Headphones</t>
        </is>
      </c>
      <c r="F111" t="inlineStr">
        <is>
          <t>Electronics</t>
        </is>
      </c>
      <c r="G111" t="n">
        <v>4</v>
      </c>
      <c r="H111" s="9" t="n">
        <v>1768.85</v>
      </c>
      <c r="I111" s="12" t="n">
        <v>0</v>
      </c>
      <c r="J111" s="9" t="n">
        <v>7075.4</v>
      </c>
      <c r="K111" t="inlineStr">
        <is>
          <t>Distributor</t>
        </is>
      </c>
    </row>
    <row r="112">
      <c r="A112" t="inlineStr">
        <is>
          <t>ORD0285</t>
        </is>
      </c>
      <c r="B112" s="11" t="n">
        <v>45798</v>
      </c>
      <c r="C112" t="inlineStr">
        <is>
          <t>Nashik</t>
        </is>
      </c>
      <c r="D112" t="inlineStr">
        <is>
          <t>East</t>
        </is>
      </c>
      <c r="E112" t="inlineStr">
        <is>
          <t>Pen Pack</t>
        </is>
      </c>
      <c r="F112" t="inlineStr">
        <is>
          <t>Stationery</t>
        </is>
      </c>
      <c r="G112" t="n">
        <v>8</v>
      </c>
      <c r="H112" s="9" t="n">
        <v>155.97</v>
      </c>
      <c r="I112" s="12" t="n">
        <v>0.1</v>
      </c>
      <c r="J112" s="9" t="n">
        <v>1122.98</v>
      </c>
      <c r="K112" t="inlineStr">
        <is>
          <t>Distributor</t>
        </is>
      </c>
    </row>
    <row r="113">
      <c r="A113" t="inlineStr">
        <is>
          <t>ORD0059</t>
        </is>
      </c>
      <c r="B113" s="11" t="n">
        <v>45799</v>
      </c>
      <c r="C113" t="inlineStr">
        <is>
          <t>Delhi</t>
        </is>
      </c>
      <c r="D113" t="inlineStr">
        <is>
          <t>East</t>
        </is>
      </c>
      <c r="E113" t="inlineStr">
        <is>
          <t>Monitor</t>
        </is>
      </c>
      <c r="F113" t="inlineStr">
        <is>
          <t>Electronics</t>
        </is>
      </c>
      <c r="G113" t="n">
        <v>2</v>
      </c>
      <c r="H113" s="9" t="n">
        <v>12384.36</v>
      </c>
      <c r="I113" s="12" t="n">
        <v>0</v>
      </c>
      <c r="J113" s="9" t="n">
        <v>24768.72</v>
      </c>
      <c r="K113" t="inlineStr">
        <is>
          <t>Online</t>
        </is>
      </c>
    </row>
    <row r="114">
      <c r="A114" t="inlineStr">
        <is>
          <t>ORD0277</t>
        </is>
      </c>
      <c r="B114" s="11" t="n">
        <v>45800</v>
      </c>
      <c r="C114" t="inlineStr">
        <is>
          <t>Thane</t>
        </is>
      </c>
      <c r="D114" t="inlineStr">
        <is>
          <t>South</t>
        </is>
      </c>
      <c r="E114" t="inlineStr">
        <is>
          <t>USB Drive</t>
        </is>
      </c>
      <c r="F114" t="inlineStr">
        <is>
          <t>Accessories</t>
        </is>
      </c>
      <c r="G114" t="n">
        <v>8</v>
      </c>
      <c r="H114" s="9" t="n">
        <v>533.49</v>
      </c>
      <c r="I114" s="12" t="n">
        <v>0</v>
      </c>
      <c r="J114" s="9" t="n">
        <v>4267.92</v>
      </c>
      <c r="K114" t="inlineStr">
        <is>
          <t>Retail</t>
        </is>
      </c>
    </row>
    <row r="115">
      <c r="A115" t="inlineStr">
        <is>
          <t>ORD0162</t>
        </is>
      </c>
      <c r="B115" s="11" t="n">
        <v>45800</v>
      </c>
      <c r="C115" t="inlineStr">
        <is>
          <t>Bengaluru</t>
        </is>
      </c>
      <c r="D115" t="inlineStr">
        <is>
          <t>North</t>
        </is>
      </c>
      <c r="E115" t="inlineStr">
        <is>
          <t>USB Drive</t>
        </is>
      </c>
      <c r="F115" t="inlineStr">
        <is>
          <t>Accessories</t>
        </is>
      </c>
      <c r="G115" t="n">
        <v>4</v>
      </c>
      <c r="H115" s="9" t="n">
        <v>525.16</v>
      </c>
      <c r="I115" s="12" t="n">
        <v>0.1</v>
      </c>
      <c r="J115" s="9" t="n">
        <v>1890.58</v>
      </c>
      <c r="K115" t="inlineStr">
        <is>
          <t>Online</t>
        </is>
      </c>
    </row>
    <row r="116">
      <c r="A116" t="inlineStr">
        <is>
          <t>ORD0208</t>
        </is>
      </c>
      <c r="B116" s="11" t="n">
        <v>45801</v>
      </c>
      <c r="C116" t="inlineStr">
        <is>
          <t>Nashik</t>
        </is>
      </c>
      <c r="D116" t="inlineStr">
        <is>
          <t>North</t>
        </is>
      </c>
      <c r="E116" t="inlineStr">
        <is>
          <t>Headphones</t>
        </is>
      </c>
      <c r="F116" t="inlineStr">
        <is>
          <t>Electronics</t>
        </is>
      </c>
      <c r="G116" t="n">
        <v>4</v>
      </c>
      <c r="H116" s="9" t="n">
        <v>1870.25</v>
      </c>
      <c r="I116" s="12" t="n">
        <v>0.15</v>
      </c>
      <c r="J116" s="9" t="n">
        <v>6358.85</v>
      </c>
      <c r="K116" t="inlineStr">
        <is>
          <t>Retail</t>
        </is>
      </c>
    </row>
    <row r="117">
      <c r="A117" t="inlineStr">
        <is>
          <t>ORD0243</t>
        </is>
      </c>
      <c r="B117" s="11" t="n">
        <v>45803</v>
      </c>
      <c r="C117" t="inlineStr">
        <is>
          <t>Nagpur</t>
        </is>
      </c>
      <c r="D117" t="inlineStr">
        <is>
          <t>South</t>
        </is>
      </c>
      <c r="E117" t="inlineStr">
        <is>
          <t>Keyboard</t>
        </is>
      </c>
      <c r="F117" t="inlineStr">
        <is>
          <t>Accessories</t>
        </is>
      </c>
      <c r="G117" t="n">
        <v>2</v>
      </c>
      <c r="H117" s="9" t="n">
        <v>1269.11</v>
      </c>
      <c r="I117" s="12" t="n">
        <v>0.1</v>
      </c>
      <c r="J117" s="9" t="n">
        <v>2284.4</v>
      </c>
      <c r="K117" t="inlineStr">
        <is>
          <t>Retail</t>
        </is>
      </c>
    </row>
    <row r="118">
      <c r="A118" t="inlineStr">
        <is>
          <t>ORD0192</t>
        </is>
      </c>
      <c r="B118" s="11" t="n">
        <v>45803</v>
      </c>
      <c r="C118" t="inlineStr">
        <is>
          <t>Pune</t>
        </is>
      </c>
      <c r="D118" t="inlineStr">
        <is>
          <t>North</t>
        </is>
      </c>
      <c r="E118" t="inlineStr">
        <is>
          <t>Keyboard</t>
        </is>
      </c>
      <c r="F118" t="inlineStr">
        <is>
          <t>Accessories</t>
        </is>
      </c>
      <c r="G118" t="n">
        <v>8</v>
      </c>
      <c r="H118" s="9" t="n">
        <v>1179.94</v>
      </c>
      <c r="I118" s="12" t="n">
        <v>0.15</v>
      </c>
      <c r="J118" s="9" t="n">
        <v>8023.59</v>
      </c>
      <c r="K118" t="inlineStr">
        <is>
          <t>Distributor</t>
        </is>
      </c>
    </row>
    <row r="119">
      <c r="A119" t="inlineStr">
        <is>
          <t>ORD0163</t>
        </is>
      </c>
      <c r="B119" s="11" t="n">
        <v>45804</v>
      </c>
      <c r="C119" t="inlineStr">
        <is>
          <t>Nagpur</t>
        </is>
      </c>
      <c r="D119" t="inlineStr">
        <is>
          <t>East</t>
        </is>
      </c>
      <c r="E119" t="inlineStr">
        <is>
          <t>Pen Pack</t>
        </is>
      </c>
      <c r="F119" t="inlineStr">
        <is>
          <t>Stationery</t>
        </is>
      </c>
      <c r="G119" t="n">
        <v>8</v>
      </c>
      <c r="H119" s="9" t="n">
        <v>148.29</v>
      </c>
      <c r="I119" s="12" t="n">
        <v>0.05</v>
      </c>
      <c r="J119" s="9" t="n">
        <v>1127</v>
      </c>
      <c r="K119" t="inlineStr">
        <is>
          <t>Distributor</t>
        </is>
      </c>
    </row>
    <row r="120">
      <c r="A120" t="inlineStr">
        <is>
          <t>ORD0276</t>
        </is>
      </c>
      <c r="B120" s="11" t="n">
        <v>45805</v>
      </c>
      <c r="C120" t="inlineStr">
        <is>
          <t>Nagpur</t>
        </is>
      </c>
      <c r="D120" t="inlineStr">
        <is>
          <t>South</t>
        </is>
      </c>
      <c r="E120" t="inlineStr">
        <is>
          <t>Keyboard</t>
        </is>
      </c>
      <c r="F120" t="inlineStr">
        <is>
          <t>Accessories</t>
        </is>
      </c>
      <c r="G120" t="n">
        <v>4</v>
      </c>
      <c r="H120" s="9" t="n">
        <v>1123.04</v>
      </c>
      <c r="I120" s="12" t="n">
        <v>0.05</v>
      </c>
      <c r="J120" s="9" t="n">
        <v>4267.55</v>
      </c>
      <c r="K120" t="inlineStr">
        <is>
          <t>Online</t>
        </is>
      </c>
    </row>
    <row r="121">
      <c r="A121" t="inlineStr">
        <is>
          <t>ORD0123</t>
        </is>
      </c>
      <c r="B121" s="11" t="n">
        <v>45806</v>
      </c>
      <c r="C121" t="inlineStr">
        <is>
          <t>Nagpur</t>
        </is>
      </c>
      <c r="D121" t="inlineStr">
        <is>
          <t>North</t>
        </is>
      </c>
      <c r="E121" t="inlineStr">
        <is>
          <t>USB Drive</t>
        </is>
      </c>
      <c r="F121" t="inlineStr">
        <is>
          <t>Accessories</t>
        </is>
      </c>
      <c r="G121" t="n">
        <v>5</v>
      </c>
      <c r="H121" s="9" t="n">
        <v>585.42</v>
      </c>
      <c r="I121" s="12" t="n">
        <v>0.15</v>
      </c>
      <c r="J121" s="9" t="n">
        <v>2488.03</v>
      </c>
      <c r="K121" t="inlineStr">
        <is>
          <t>Retail</t>
        </is>
      </c>
    </row>
    <row r="122">
      <c r="A122" t="inlineStr">
        <is>
          <t>ORD0168</t>
        </is>
      </c>
      <c r="B122" s="11" t="n">
        <v>45806</v>
      </c>
      <c r="C122" t="inlineStr">
        <is>
          <t>Thane</t>
        </is>
      </c>
      <c r="D122" t="inlineStr">
        <is>
          <t>West</t>
        </is>
      </c>
      <c r="E122" t="inlineStr">
        <is>
          <t>USB Drive</t>
        </is>
      </c>
      <c r="F122" t="inlineStr">
        <is>
          <t>Accessories</t>
        </is>
      </c>
      <c r="G122" t="n">
        <v>2</v>
      </c>
      <c r="H122" s="9" t="n">
        <v>525.47</v>
      </c>
      <c r="I122" s="12" t="n">
        <v>0.1</v>
      </c>
      <c r="J122" s="9" t="n">
        <v>945.85</v>
      </c>
      <c r="K122" t="inlineStr">
        <is>
          <t>Distributor</t>
        </is>
      </c>
    </row>
    <row r="123">
      <c r="A123" t="inlineStr">
        <is>
          <t>ORD0017</t>
        </is>
      </c>
      <c r="B123" s="11" t="n">
        <v>45808</v>
      </c>
      <c r="C123" t="inlineStr">
        <is>
          <t>Delhi</t>
        </is>
      </c>
      <c r="D123" t="inlineStr">
        <is>
          <t>South</t>
        </is>
      </c>
      <c r="E123" t="inlineStr">
        <is>
          <t>Monitor</t>
        </is>
      </c>
      <c r="F123" t="inlineStr">
        <is>
          <t>Electronics</t>
        </is>
      </c>
      <c r="G123" t="n">
        <v>8</v>
      </c>
      <c r="H123" s="9" t="n">
        <v>13003.4</v>
      </c>
      <c r="I123" s="12" t="n">
        <v>0</v>
      </c>
      <c r="J123" s="9" t="n">
        <v>104027.2</v>
      </c>
      <c r="K123" t="inlineStr">
        <is>
          <t>Distributor</t>
        </is>
      </c>
    </row>
    <row r="124">
      <c r="A124" t="inlineStr">
        <is>
          <t>ORD0227</t>
        </is>
      </c>
      <c r="B124" s="11" t="n">
        <v>45808</v>
      </c>
      <c r="C124" t="inlineStr">
        <is>
          <t>Nashik</t>
        </is>
      </c>
      <c r="D124" t="inlineStr">
        <is>
          <t>South</t>
        </is>
      </c>
      <c r="E124" t="inlineStr">
        <is>
          <t>Desk</t>
        </is>
      </c>
      <c r="F124" t="inlineStr">
        <is>
          <t>Furniture</t>
        </is>
      </c>
      <c r="G124" t="n">
        <v>3</v>
      </c>
      <c r="H124" s="9" t="n">
        <v>9045.57</v>
      </c>
      <c r="I124" s="12" t="n">
        <v>0</v>
      </c>
      <c r="J124" s="9" t="n">
        <v>27136.71</v>
      </c>
      <c r="K124" t="inlineStr">
        <is>
          <t>Online</t>
        </is>
      </c>
    </row>
    <row r="125">
      <c r="A125" t="inlineStr">
        <is>
          <t>ORD0267</t>
        </is>
      </c>
      <c r="B125" s="11" t="n">
        <v>45811</v>
      </c>
      <c r="C125" t="inlineStr">
        <is>
          <t>Nagpur</t>
        </is>
      </c>
      <c r="D125" t="inlineStr">
        <is>
          <t>East</t>
        </is>
      </c>
      <c r="E125" t="inlineStr">
        <is>
          <t>Office Chair</t>
        </is>
      </c>
      <c r="F125" t="inlineStr">
        <is>
          <t>Furniture</t>
        </is>
      </c>
      <c r="G125" t="n">
        <v>8</v>
      </c>
      <c r="H125" s="9" t="n">
        <v>7830.66</v>
      </c>
      <c r="I125" s="12" t="n">
        <v>0</v>
      </c>
      <c r="J125" s="9" t="n">
        <v>62645.28</v>
      </c>
      <c r="K125" t="inlineStr">
        <is>
          <t>Distributor</t>
        </is>
      </c>
    </row>
    <row r="126">
      <c r="A126" t="inlineStr">
        <is>
          <t>ORD0121</t>
        </is>
      </c>
      <c r="B126" s="11" t="n">
        <v>45812</v>
      </c>
      <c r="C126" t="inlineStr">
        <is>
          <t>Chennai</t>
        </is>
      </c>
      <c r="D126" t="inlineStr">
        <is>
          <t>North</t>
        </is>
      </c>
      <c r="E126" t="inlineStr">
        <is>
          <t>Pen Pack</t>
        </is>
      </c>
      <c r="F126" t="inlineStr">
        <is>
          <t>Stationery</t>
        </is>
      </c>
      <c r="G126" t="n">
        <v>4</v>
      </c>
      <c r="H126" s="9" t="n">
        <v>146.05</v>
      </c>
      <c r="I126" s="12" t="n">
        <v>0.15</v>
      </c>
      <c r="J126" s="9" t="n">
        <v>496.57</v>
      </c>
      <c r="K126" t="inlineStr">
        <is>
          <t>Online</t>
        </is>
      </c>
    </row>
    <row r="127">
      <c r="A127" t="inlineStr">
        <is>
          <t>ORD0018</t>
        </is>
      </c>
      <c r="B127" s="11" t="n">
        <v>45814</v>
      </c>
      <c r="C127" t="inlineStr">
        <is>
          <t>Bengaluru</t>
        </is>
      </c>
      <c r="D127" t="inlineStr">
        <is>
          <t>East</t>
        </is>
      </c>
      <c r="E127" t="inlineStr">
        <is>
          <t>Monitor</t>
        </is>
      </c>
      <c r="F127" t="inlineStr">
        <is>
          <t>Electronics</t>
        </is>
      </c>
      <c r="G127" t="n">
        <v>5</v>
      </c>
      <c r="H127" s="9" t="n">
        <v>12791.98</v>
      </c>
      <c r="I127" s="12" t="n">
        <v>0.15</v>
      </c>
      <c r="J127" s="9" t="n">
        <v>54365.91</v>
      </c>
      <c r="K127" t="inlineStr">
        <is>
          <t>Online</t>
        </is>
      </c>
    </row>
    <row r="128">
      <c r="A128" t="inlineStr">
        <is>
          <t>ORD0181</t>
        </is>
      </c>
      <c r="B128" s="11" t="n">
        <v>45819</v>
      </c>
      <c r="C128" t="inlineStr">
        <is>
          <t>Chennai</t>
        </is>
      </c>
      <c r="D128" t="inlineStr">
        <is>
          <t>West</t>
        </is>
      </c>
      <c r="E128" t="inlineStr">
        <is>
          <t>Keyboard</t>
        </is>
      </c>
      <c r="F128" t="inlineStr">
        <is>
          <t>Accessories</t>
        </is>
      </c>
      <c r="G128" t="n">
        <v>1</v>
      </c>
      <c r="H128" s="9" t="n">
        <v>1225.31</v>
      </c>
      <c r="I128" s="12" t="n">
        <v>0.05</v>
      </c>
      <c r="J128" s="9" t="n">
        <v>1164.04</v>
      </c>
      <c r="K128" t="inlineStr">
        <is>
          <t>Online</t>
        </is>
      </c>
    </row>
    <row r="129">
      <c r="A129" t="inlineStr">
        <is>
          <t>ORD0098</t>
        </is>
      </c>
      <c r="B129" s="11" t="n">
        <v>45823</v>
      </c>
      <c r="C129" t="inlineStr">
        <is>
          <t>Delhi</t>
        </is>
      </c>
      <c r="D129" t="inlineStr">
        <is>
          <t>South</t>
        </is>
      </c>
      <c r="E129" t="inlineStr">
        <is>
          <t>Laptop</t>
        </is>
      </c>
      <c r="F129" t="inlineStr">
        <is>
          <t>Electronics</t>
        </is>
      </c>
      <c r="G129" t="n">
        <v>1</v>
      </c>
      <c r="H129" s="9" t="n">
        <v>53934.44</v>
      </c>
      <c r="I129" s="12" t="n">
        <v>0.05</v>
      </c>
      <c r="J129" s="9" t="n">
        <v>51237.72</v>
      </c>
      <c r="K129" t="inlineStr">
        <is>
          <t>Retail</t>
        </is>
      </c>
    </row>
    <row r="130">
      <c r="A130" t="inlineStr">
        <is>
          <t>ORD0003</t>
        </is>
      </c>
      <c r="B130" s="11" t="n">
        <v>45824</v>
      </c>
      <c r="C130" t="inlineStr">
        <is>
          <t>Mumbai</t>
        </is>
      </c>
      <c r="D130" t="inlineStr">
        <is>
          <t>North</t>
        </is>
      </c>
      <c r="E130" t="inlineStr">
        <is>
          <t>Office Chair</t>
        </is>
      </c>
      <c r="F130" t="inlineStr">
        <is>
          <t>Furniture</t>
        </is>
      </c>
      <c r="G130" t="n">
        <v>1</v>
      </c>
      <c r="H130" s="9" t="n">
        <v>7886.41</v>
      </c>
      <c r="I130" s="12" t="n">
        <v>0</v>
      </c>
      <c r="J130" s="9" t="n">
        <v>7886.41</v>
      </c>
      <c r="K130" t="inlineStr">
        <is>
          <t>Online</t>
        </is>
      </c>
    </row>
    <row r="131">
      <c r="A131" t="inlineStr">
        <is>
          <t>ORD0129</t>
        </is>
      </c>
      <c r="B131" s="11" t="n">
        <v>45826</v>
      </c>
      <c r="C131" t="inlineStr">
        <is>
          <t>Thane</t>
        </is>
      </c>
      <c r="D131" t="inlineStr">
        <is>
          <t>North</t>
        </is>
      </c>
      <c r="E131" t="inlineStr">
        <is>
          <t>Keyboard</t>
        </is>
      </c>
      <c r="F131" t="inlineStr">
        <is>
          <t>Accessories</t>
        </is>
      </c>
      <c r="G131" t="n">
        <v>8</v>
      </c>
      <c r="H131" s="9" t="n">
        <v>1127.18</v>
      </c>
      <c r="I131" s="12" t="n">
        <v>0.15</v>
      </c>
      <c r="J131" s="9" t="n">
        <v>7664.82</v>
      </c>
      <c r="K131" t="inlineStr">
        <is>
          <t>Online</t>
        </is>
      </c>
    </row>
    <row r="132">
      <c r="A132" t="inlineStr">
        <is>
          <t>ORD0299</t>
        </is>
      </c>
      <c r="B132" s="11" t="n">
        <v>45827</v>
      </c>
      <c r="C132" t="inlineStr">
        <is>
          <t>Delhi</t>
        </is>
      </c>
      <c r="D132" t="inlineStr">
        <is>
          <t>West</t>
        </is>
      </c>
      <c r="E132" t="inlineStr">
        <is>
          <t>Laptop</t>
        </is>
      </c>
      <c r="F132" t="inlineStr">
        <is>
          <t>Electronics</t>
        </is>
      </c>
      <c r="G132" t="n">
        <v>3</v>
      </c>
      <c r="H132" s="9" t="n">
        <v>50026.07</v>
      </c>
      <c r="I132" s="12" t="n">
        <v>0.05</v>
      </c>
      <c r="J132" s="9" t="n">
        <v>142574.3</v>
      </c>
      <c r="K132" t="inlineStr">
        <is>
          <t>Online</t>
        </is>
      </c>
    </row>
    <row r="133">
      <c r="A133" t="inlineStr">
        <is>
          <t>ORD0036</t>
        </is>
      </c>
      <c r="B133" s="11" t="n">
        <v>45828</v>
      </c>
      <c r="C133" t="inlineStr">
        <is>
          <t>Thane</t>
        </is>
      </c>
      <c r="D133" t="inlineStr">
        <is>
          <t>West</t>
        </is>
      </c>
      <c r="E133" t="inlineStr">
        <is>
          <t>Mouse</t>
        </is>
      </c>
      <c r="F133" t="inlineStr">
        <is>
          <t>Accessories</t>
        </is>
      </c>
      <c r="G133" t="n">
        <v>5</v>
      </c>
      <c r="H133" s="9" t="n">
        <v>616.75</v>
      </c>
      <c r="I133" s="12" t="n">
        <v>0</v>
      </c>
      <c r="J133" s="9" t="n">
        <v>3083.75</v>
      </c>
      <c r="K133" t="inlineStr">
        <is>
          <t>Online</t>
        </is>
      </c>
    </row>
    <row r="134">
      <c r="A134" t="inlineStr">
        <is>
          <t>ORD0209</t>
        </is>
      </c>
      <c r="B134" s="11" t="n">
        <v>45828</v>
      </c>
      <c r="C134" t="inlineStr">
        <is>
          <t>Nashik</t>
        </is>
      </c>
      <c r="D134" t="inlineStr">
        <is>
          <t>South</t>
        </is>
      </c>
      <c r="E134" t="inlineStr">
        <is>
          <t>Headphones</t>
        </is>
      </c>
      <c r="F134" t="inlineStr">
        <is>
          <t>Electronics</t>
        </is>
      </c>
      <c r="G134" t="n">
        <v>5</v>
      </c>
      <c r="H134" s="9" t="n">
        <v>1710.49</v>
      </c>
      <c r="I134" s="12" t="n">
        <v>0</v>
      </c>
      <c r="J134" s="9" t="n">
        <v>8552.450000000001</v>
      </c>
      <c r="K134" t="inlineStr">
        <is>
          <t>Online</t>
        </is>
      </c>
    </row>
    <row r="135">
      <c r="A135" t="inlineStr">
        <is>
          <t>ORD0207</t>
        </is>
      </c>
      <c r="B135" s="11" t="n">
        <v>45828</v>
      </c>
      <c r="C135" t="inlineStr">
        <is>
          <t>Nashik</t>
        </is>
      </c>
      <c r="D135" t="inlineStr">
        <is>
          <t>West</t>
        </is>
      </c>
      <c r="E135" t="inlineStr">
        <is>
          <t>Desk</t>
        </is>
      </c>
      <c r="F135" t="inlineStr">
        <is>
          <t>Furniture</t>
        </is>
      </c>
      <c r="G135" t="n">
        <v>5</v>
      </c>
      <c r="H135" s="9" t="n">
        <v>10106.1</v>
      </c>
      <c r="I135" s="12" t="n">
        <v>0</v>
      </c>
      <c r="J135" s="9" t="n">
        <v>50530.5</v>
      </c>
      <c r="K135" t="inlineStr">
        <is>
          <t>Distributor</t>
        </is>
      </c>
    </row>
    <row r="136">
      <c r="A136" t="inlineStr">
        <is>
          <t>ORD0296</t>
        </is>
      </c>
      <c r="B136" s="11" t="n">
        <v>45829</v>
      </c>
      <c r="C136" t="inlineStr">
        <is>
          <t>Nagpur</t>
        </is>
      </c>
      <c r="D136" t="inlineStr">
        <is>
          <t>North</t>
        </is>
      </c>
      <c r="E136" t="inlineStr">
        <is>
          <t>Keyboard</t>
        </is>
      </c>
      <c r="F136" t="inlineStr">
        <is>
          <t>Accessories</t>
        </is>
      </c>
      <c r="G136" t="n">
        <v>3</v>
      </c>
      <c r="H136" s="9" t="n">
        <v>1154.53</v>
      </c>
      <c r="I136" s="12" t="n">
        <v>0.1</v>
      </c>
      <c r="J136" s="9" t="n">
        <v>3117.23</v>
      </c>
      <c r="K136" t="inlineStr">
        <is>
          <t>Retail</t>
        </is>
      </c>
    </row>
    <row r="137">
      <c r="A137" t="inlineStr">
        <is>
          <t>ORD0134</t>
        </is>
      </c>
      <c r="B137" s="11" t="n">
        <v>45830</v>
      </c>
      <c r="C137" t="inlineStr">
        <is>
          <t>Nagpur</t>
        </is>
      </c>
      <c r="D137" t="inlineStr">
        <is>
          <t>East</t>
        </is>
      </c>
      <c r="E137" t="inlineStr">
        <is>
          <t>Laptop</t>
        </is>
      </c>
      <c r="F137" t="inlineStr">
        <is>
          <t>Electronics</t>
        </is>
      </c>
      <c r="G137" t="n">
        <v>6</v>
      </c>
      <c r="H137" s="9" t="n">
        <v>55421.64</v>
      </c>
      <c r="I137" s="12" t="n">
        <v>0.1</v>
      </c>
      <c r="J137" s="9" t="n">
        <v>299276.86</v>
      </c>
      <c r="K137" t="inlineStr">
        <is>
          <t>Online</t>
        </is>
      </c>
    </row>
    <row r="138">
      <c r="A138" t="inlineStr">
        <is>
          <t>ORD0281</t>
        </is>
      </c>
      <c r="B138" s="11" t="n">
        <v>45831</v>
      </c>
      <c r="C138" t="inlineStr">
        <is>
          <t>Thane</t>
        </is>
      </c>
      <c r="D138" t="inlineStr">
        <is>
          <t>North</t>
        </is>
      </c>
      <c r="E138" t="inlineStr">
        <is>
          <t>Office Chair</t>
        </is>
      </c>
      <c r="F138" t="inlineStr">
        <is>
          <t>Furniture</t>
        </is>
      </c>
      <c r="G138" t="n">
        <v>6</v>
      </c>
      <c r="H138" s="9" t="n">
        <v>7484.1</v>
      </c>
      <c r="I138" s="12" t="n">
        <v>0</v>
      </c>
      <c r="J138" s="9" t="n">
        <v>44904.6</v>
      </c>
      <c r="K138" t="inlineStr">
        <is>
          <t>Distributor</t>
        </is>
      </c>
    </row>
    <row r="139">
      <c r="A139" t="inlineStr">
        <is>
          <t>ORD0071</t>
        </is>
      </c>
      <c r="B139" s="11" t="n">
        <v>45831</v>
      </c>
      <c r="C139" t="inlineStr">
        <is>
          <t>Pune</t>
        </is>
      </c>
      <c r="D139" t="inlineStr">
        <is>
          <t>West</t>
        </is>
      </c>
      <c r="E139" t="inlineStr">
        <is>
          <t>Mouse</t>
        </is>
      </c>
      <c r="F139" t="inlineStr">
        <is>
          <t>Accessories</t>
        </is>
      </c>
      <c r="G139" t="n">
        <v>3</v>
      </c>
      <c r="H139" s="9" t="n">
        <v>645.74</v>
      </c>
      <c r="I139" s="12" t="n">
        <v>0.1</v>
      </c>
      <c r="J139" s="9" t="n">
        <v>1743.5</v>
      </c>
      <c r="K139" t="inlineStr">
        <is>
          <t>Distributor</t>
        </is>
      </c>
    </row>
    <row r="140">
      <c r="A140" t="inlineStr">
        <is>
          <t>ORD0151</t>
        </is>
      </c>
      <c r="B140" s="11" t="n">
        <v>45831</v>
      </c>
      <c r="C140" t="inlineStr">
        <is>
          <t>Nashik</t>
        </is>
      </c>
      <c r="D140" t="inlineStr">
        <is>
          <t>East</t>
        </is>
      </c>
      <c r="E140" t="inlineStr">
        <is>
          <t>Notebook</t>
        </is>
      </c>
      <c r="F140" t="inlineStr">
        <is>
          <t>Stationery</t>
        </is>
      </c>
      <c r="G140" t="n">
        <v>7</v>
      </c>
      <c r="H140" s="9" t="n">
        <v>86.58</v>
      </c>
      <c r="I140" s="12" t="n">
        <v>0.15</v>
      </c>
      <c r="J140" s="9" t="n">
        <v>515.15</v>
      </c>
      <c r="K140" t="inlineStr">
        <is>
          <t>Retail</t>
        </is>
      </c>
    </row>
    <row r="141">
      <c r="A141" t="inlineStr">
        <is>
          <t>ORD0083</t>
        </is>
      </c>
      <c r="B141" s="11" t="n">
        <v>45831</v>
      </c>
      <c r="C141" t="inlineStr">
        <is>
          <t>Thane</t>
        </is>
      </c>
      <c r="D141" t="inlineStr">
        <is>
          <t>South</t>
        </is>
      </c>
      <c r="E141" t="inlineStr">
        <is>
          <t>Headphones</t>
        </is>
      </c>
      <c r="F141" t="inlineStr">
        <is>
          <t>Electronics</t>
        </is>
      </c>
      <c r="G141" t="n">
        <v>1</v>
      </c>
      <c r="H141" s="9" t="n">
        <v>1916</v>
      </c>
      <c r="I141" s="12" t="n">
        <v>0.1</v>
      </c>
      <c r="J141" s="9" t="n">
        <v>1724.4</v>
      </c>
      <c r="K141" t="inlineStr">
        <is>
          <t>Online</t>
        </is>
      </c>
    </row>
    <row r="142">
      <c r="A142" t="inlineStr">
        <is>
          <t>ORD0103</t>
        </is>
      </c>
      <c r="B142" s="11" t="n">
        <v>45831</v>
      </c>
      <c r="C142" t="inlineStr">
        <is>
          <t>Nashik</t>
        </is>
      </c>
      <c r="D142" t="inlineStr">
        <is>
          <t>South</t>
        </is>
      </c>
      <c r="E142" t="inlineStr">
        <is>
          <t>Notebook</t>
        </is>
      </c>
      <c r="F142" t="inlineStr">
        <is>
          <t>Stationery</t>
        </is>
      </c>
      <c r="G142" t="n">
        <v>3</v>
      </c>
      <c r="H142" s="9" t="n">
        <v>85.88</v>
      </c>
      <c r="I142" s="12" t="n">
        <v>0</v>
      </c>
      <c r="J142" s="9" t="n">
        <v>257.64</v>
      </c>
      <c r="K142" t="inlineStr">
        <is>
          <t>Retail</t>
        </is>
      </c>
    </row>
    <row r="143">
      <c r="A143" t="inlineStr">
        <is>
          <t>ORD0265</t>
        </is>
      </c>
      <c r="B143" s="11" t="n">
        <v>45832</v>
      </c>
      <c r="C143" t="inlineStr">
        <is>
          <t>Bengaluru</t>
        </is>
      </c>
      <c r="D143" t="inlineStr">
        <is>
          <t>East</t>
        </is>
      </c>
      <c r="E143" t="inlineStr">
        <is>
          <t>Notebook</t>
        </is>
      </c>
      <c r="F143" t="inlineStr">
        <is>
          <t>Stationery</t>
        </is>
      </c>
      <c r="G143" t="n">
        <v>5</v>
      </c>
      <c r="H143" s="9" t="n">
        <v>95.53</v>
      </c>
      <c r="I143" s="12" t="n">
        <v>0.05</v>
      </c>
      <c r="J143" s="9" t="n">
        <v>453.77</v>
      </c>
      <c r="K143" t="inlineStr">
        <is>
          <t>Distributor</t>
        </is>
      </c>
    </row>
    <row r="144">
      <c r="A144" t="inlineStr">
        <is>
          <t>ORD0125</t>
        </is>
      </c>
      <c r="B144" s="11" t="n">
        <v>45832</v>
      </c>
      <c r="C144" t="inlineStr">
        <is>
          <t>Nashik</t>
        </is>
      </c>
      <c r="D144" t="inlineStr">
        <is>
          <t>North</t>
        </is>
      </c>
      <c r="E144" t="inlineStr">
        <is>
          <t>USB Drive</t>
        </is>
      </c>
      <c r="F144" t="inlineStr">
        <is>
          <t>Accessories</t>
        </is>
      </c>
      <c r="G144" t="n">
        <v>6</v>
      </c>
      <c r="H144" s="9" t="n">
        <v>544.87</v>
      </c>
      <c r="I144" s="12" t="n">
        <v>0.1</v>
      </c>
      <c r="J144" s="9" t="n">
        <v>2942.3</v>
      </c>
      <c r="K144" t="inlineStr">
        <is>
          <t>Retail</t>
        </is>
      </c>
    </row>
    <row r="145">
      <c r="A145" t="inlineStr">
        <is>
          <t>ORD0140</t>
        </is>
      </c>
      <c r="B145" s="11" t="n">
        <v>45833</v>
      </c>
      <c r="C145" t="inlineStr">
        <is>
          <t>Delhi</t>
        </is>
      </c>
      <c r="D145" t="inlineStr">
        <is>
          <t>East</t>
        </is>
      </c>
      <c r="E145" t="inlineStr">
        <is>
          <t>Monitor</t>
        </is>
      </c>
      <c r="F145" t="inlineStr">
        <is>
          <t>Electronics</t>
        </is>
      </c>
      <c r="G145" t="n">
        <v>4</v>
      </c>
      <c r="H145" s="9" t="n">
        <v>12379.89</v>
      </c>
      <c r="I145" s="12" t="n">
        <v>0.15</v>
      </c>
      <c r="J145" s="9" t="n">
        <v>42091.63</v>
      </c>
      <c r="K145" t="inlineStr">
        <is>
          <t>Distributor</t>
        </is>
      </c>
    </row>
    <row r="146">
      <c r="A146" t="inlineStr">
        <is>
          <t>ORD0241</t>
        </is>
      </c>
      <c r="B146" s="11" t="n">
        <v>45834</v>
      </c>
      <c r="C146" t="inlineStr">
        <is>
          <t>Pune</t>
        </is>
      </c>
      <c r="D146" t="inlineStr">
        <is>
          <t>South</t>
        </is>
      </c>
      <c r="E146" t="inlineStr">
        <is>
          <t>Notebook</t>
        </is>
      </c>
      <c r="F146" t="inlineStr">
        <is>
          <t>Stationery</t>
        </is>
      </c>
      <c r="G146" t="n">
        <v>2</v>
      </c>
      <c r="H146" s="9" t="n">
        <v>91.23999999999999</v>
      </c>
      <c r="I146" s="12" t="n">
        <v>0</v>
      </c>
      <c r="J146" s="9" t="n">
        <v>182.48</v>
      </c>
      <c r="K146" t="inlineStr">
        <is>
          <t>Retail</t>
        </is>
      </c>
    </row>
    <row r="147">
      <c r="A147" t="inlineStr">
        <is>
          <t>ORD0109</t>
        </is>
      </c>
      <c r="B147" s="11" t="n">
        <v>45836</v>
      </c>
      <c r="C147" t="inlineStr">
        <is>
          <t>Nagpur</t>
        </is>
      </c>
      <c r="D147" t="inlineStr">
        <is>
          <t>North</t>
        </is>
      </c>
      <c r="E147" t="inlineStr">
        <is>
          <t>Pen Pack</t>
        </is>
      </c>
      <c r="F147" t="inlineStr">
        <is>
          <t>Stationery</t>
        </is>
      </c>
      <c r="G147" t="n">
        <v>4</v>
      </c>
      <c r="H147" s="9" t="n">
        <v>151.12</v>
      </c>
      <c r="I147" s="12" t="n">
        <v>0.15</v>
      </c>
      <c r="J147" s="9" t="n">
        <v>513.8099999999999</v>
      </c>
      <c r="K147" t="inlineStr">
        <is>
          <t>Distributor</t>
        </is>
      </c>
    </row>
    <row r="148">
      <c r="A148" t="inlineStr">
        <is>
          <t>ORD0117</t>
        </is>
      </c>
      <c r="B148" s="11" t="n">
        <v>45838</v>
      </c>
      <c r="C148" t="inlineStr">
        <is>
          <t>Mumbai</t>
        </is>
      </c>
      <c r="D148" t="inlineStr">
        <is>
          <t>East</t>
        </is>
      </c>
      <c r="E148" t="inlineStr">
        <is>
          <t>Office Chair</t>
        </is>
      </c>
      <c r="F148" t="inlineStr">
        <is>
          <t>Furniture</t>
        </is>
      </c>
      <c r="G148" t="n">
        <v>8</v>
      </c>
      <c r="H148" s="9" t="n">
        <v>7687.62</v>
      </c>
      <c r="I148" s="12" t="n">
        <v>0.1</v>
      </c>
      <c r="J148" s="9" t="n">
        <v>55350.86</v>
      </c>
      <c r="K148" t="inlineStr">
        <is>
          <t>Online</t>
        </is>
      </c>
    </row>
    <row r="149">
      <c r="A149" t="inlineStr">
        <is>
          <t>ORD0040</t>
        </is>
      </c>
      <c r="B149" s="11" t="n">
        <v>45838</v>
      </c>
      <c r="C149" t="inlineStr">
        <is>
          <t>Nagpur</t>
        </is>
      </c>
      <c r="D149" t="inlineStr">
        <is>
          <t>West</t>
        </is>
      </c>
      <c r="E149" t="inlineStr">
        <is>
          <t>Office Chair</t>
        </is>
      </c>
      <c r="F149" t="inlineStr">
        <is>
          <t>Furniture</t>
        </is>
      </c>
      <c r="G149" t="n">
        <v>8</v>
      </c>
      <c r="H149" s="9" t="n">
        <v>7309.38</v>
      </c>
      <c r="I149" s="12" t="n">
        <v>0.15</v>
      </c>
      <c r="J149" s="9" t="n">
        <v>49703.78</v>
      </c>
      <c r="K149" t="inlineStr">
        <is>
          <t>Distributor</t>
        </is>
      </c>
    </row>
    <row r="150">
      <c r="A150" t="inlineStr">
        <is>
          <t>ORD0077</t>
        </is>
      </c>
      <c r="B150" s="11" t="n">
        <v>45841</v>
      </c>
      <c r="C150" t="inlineStr">
        <is>
          <t>Delhi</t>
        </is>
      </c>
      <c r="D150" t="inlineStr">
        <is>
          <t>East</t>
        </is>
      </c>
      <c r="E150" t="inlineStr">
        <is>
          <t>Laptop</t>
        </is>
      </c>
      <c r="F150" t="inlineStr">
        <is>
          <t>Electronics</t>
        </is>
      </c>
      <c r="G150" t="n">
        <v>8</v>
      </c>
      <c r="H150" s="9" t="n">
        <v>50330.89</v>
      </c>
      <c r="I150" s="12" t="n">
        <v>0.1</v>
      </c>
      <c r="J150" s="9" t="n">
        <v>362382.41</v>
      </c>
      <c r="K150" t="inlineStr">
        <is>
          <t>Distributor</t>
        </is>
      </c>
    </row>
    <row r="151">
      <c r="A151" t="inlineStr">
        <is>
          <t>ORD0233</t>
        </is>
      </c>
      <c r="B151" s="11" t="n">
        <v>45842</v>
      </c>
      <c r="C151" t="inlineStr">
        <is>
          <t>Delhi</t>
        </is>
      </c>
      <c r="D151" t="inlineStr">
        <is>
          <t>South</t>
        </is>
      </c>
      <c r="E151" t="inlineStr">
        <is>
          <t>Laptop</t>
        </is>
      </c>
      <c r="F151" t="inlineStr">
        <is>
          <t>Electronics</t>
        </is>
      </c>
      <c r="G151" t="n">
        <v>8</v>
      </c>
      <c r="H151" s="9" t="n">
        <v>55216.58</v>
      </c>
      <c r="I151" s="12" t="n">
        <v>0.15</v>
      </c>
      <c r="J151" s="9" t="n">
        <v>375472.74</v>
      </c>
      <c r="K151" t="inlineStr">
        <is>
          <t>Retail</t>
        </is>
      </c>
    </row>
    <row r="152">
      <c r="A152" t="inlineStr">
        <is>
          <t>ORD0130</t>
        </is>
      </c>
      <c r="B152" s="11" t="n">
        <v>45845</v>
      </c>
      <c r="C152" t="inlineStr">
        <is>
          <t>Pune</t>
        </is>
      </c>
      <c r="D152" t="inlineStr">
        <is>
          <t>South</t>
        </is>
      </c>
      <c r="E152" t="inlineStr">
        <is>
          <t>Monitor</t>
        </is>
      </c>
      <c r="F152" t="inlineStr">
        <is>
          <t>Electronics</t>
        </is>
      </c>
      <c r="G152" t="n">
        <v>1</v>
      </c>
      <c r="H152" s="9" t="n">
        <v>12347.3</v>
      </c>
      <c r="I152" s="12" t="n">
        <v>0.1</v>
      </c>
      <c r="J152" s="9" t="n">
        <v>11112.57</v>
      </c>
      <c r="K152" t="inlineStr">
        <is>
          <t>Online</t>
        </is>
      </c>
    </row>
    <row r="153">
      <c r="A153" t="inlineStr">
        <is>
          <t>ORD0142</t>
        </is>
      </c>
      <c r="B153" s="11" t="n">
        <v>45846</v>
      </c>
      <c r="C153" t="inlineStr">
        <is>
          <t>Pune</t>
        </is>
      </c>
      <c r="D153" t="inlineStr">
        <is>
          <t>East</t>
        </is>
      </c>
      <c r="E153" t="inlineStr">
        <is>
          <t>Keyboard</t>
        </is>
      </c>
      <c r="F153" t="inlineStr">
        <is>
          <t>Accessories</t>
        </is>
      </c>
      <c r="G153" t="n">
        <v>2</v>
      </c>
      <c r="H153" s="9" t="n">
        <v>1191.17</v>
      </c>
      <c r="I153" s="12" t="n">
        <v>0</v>
      </c>
      <c r="J153" s="9" t="n">
        <v>2382.34</v>
      </c>
      <c r="K153" t="inlineStr">
        <is>
          <t>Distributor</t>
        </is>
      </c>
    </row>
    <row r="154">
      <c r="A154" t="inlineStr">
        <is>
          <t>ORD0063</t>
        </is>
      </c>
      <c r="B154" s="11" t="n">
        <v>45847</v>
      </c>
      <c r="C154" t="inlineStr">
        <is>
          <t>Nashik</t>
        </is>
      </c>
      <c r="D154" t="inlineStr">
        <is>
          <t>North</t>
        </is>
      </c>
      <c r="E154" t="inlineStr">
        <is>
          <t>Notebook</t>
        </is>
      </c>
      <c r="F154" t="inlineStr">
        <is>
          <t>Stationery</t>
        </is>
      </c>
      <c r="G154" t="n">
        <v>3</v>
      </c>
      <c r="H154" s="9" t="n">
        <v>87.37</v>
      </c>
      <c r="I154" s="12" t="n">
        <v>0.15</v>
      </c>
      <c r="J154" s="9" t="n">
        <v>222.79</v>
      </c>
      <c r="K154" t="inlineStr">
        <is>
          <t>Distributor</t>
        </is>
      </c>
    </row>
    <row r="155">
      <c r="A155" t="inlineStr">
        <is>
          <t>ORD0283</t>
        </is>
      </c>
      <c r="B155" s="11" t="n">
        <v>45849</v>
      </c>
      <c r="C155" t="inlineStr">
        <is>
          <t>Bengaluru</t>
        </is>
      </c>
      <c r="D155" t="inlineStr">
        <is>
          <t>West</t>
        </is>
      </c>
      <c r="E155" t="inlineStr">
        <is>
          <t>Headphones</t>
        </is>
      </c>
      <c r="F155" t="inlineStr">
        <is>
          <t>Electronics</t>
        </is>
      </c>
      <c r="G155" t="n">
        <v>4</v>
      </c>
      <c r="H155" s="9" t="n">
        <v>1821.96</v>
      </c>
      <c r="I155" s="12" t="n">
        <v>0.15</v>
      </c>
      <c r="J155" s="9" t="n">
        <v>6194.66</v>
      </c>
      <c r="K155" t="inlineStr">
        <is>
          <t>Distributor</t>
        </is>
      </c>
    </row>
    <row r="156">
      <c r="A156" t="inlineStr">
        <is>
          <t>ORD0183</t>
        </is>
      </c>
      <c r="B156" s="11" t="n">
        <v>45850</v>
      </c>
      <c r="C156" t="inlineStr">
        <is>
          <t>Mumbai</t>
        </is>
      </c>
      <c r="D156" t="inlineStr">
        <is>
          <t>West</t>
        </is>
      </c>
      <c r="E156" t="inlineStr">
        <is>
          <t>Laptop</t>
        </is>
      </c>
      <c r="F156" t="inlineStr">
        <is>
          <t>Electronics</t>
        </is>
      </c>
      <c r="G156" t="n">
        <v>6</v>
      </c>
      <c r="H156" s="9" t="n">
        <v>50589.72</v>
      </c>
      <c r="I156" s="12" t="n">
        <v>0.1</v>
      </c>
      <c r="J156" s="9" t="n">
        <v>273184.49</v>
      </c>
      <c r="K156" t="inlineStr">
        <is>
          <t>Retail</t>
        </is>
      </c>
    </row>
    <row r="157">
      <c r="A157" t="inlineStr">
        <is>
          <t>ORD0257</t>
        </is>
      </c>
      <c r="B157" s="11" t="n">
        <v>45854</v>
      </c>
      <c r="C157" t="inlineStr">
        <is>
          <t>Chennai</t>
        </is>
      </c>
      <c r="D157" t="inlineStr">
        <is>
          <t>East</t>
        </is>
      </c>
      <c r="E157" t="inlineStr">
        <is>
          <t>Keyboard</t>
        </is>
      </c>
      <c r="F157" t="inlineStr">
        <is>
          <t>Accessories</t>
        </is>
      </c>
      <c r="G157" t="n">
        <v>6</v>
      </c>
      <c r="H157" s="9" t="n">
        <v>1224.15</v>
      </c>
      <c r="I157" s="12" t="n">
        <v>0.15</v>
      </c>
      <c r="J157" s="9" t="n">
        <v>6243.16</v>
      </c>
      <c r="K157" t="inlineStr">
        <is>
          <t>Online</t>
        </is>
      </c>
    </row>
    <row r="158">
      <c r="A158" t="inlineStr">
        <is>
          <t>ORD0091</t>
        </is>
      </c>
      <c r="B158" s="11" t="n">
        <v>45854</v>
      </c>
      <c r="C158" t="inlineStr">
        <is>
          <t>Mumbai</t>
        </is>
      </c>
      <c r="D158" t="inlineStr">
        <is>
          <t>South</t>
        </is>
      </c>
      <c r="E158" t="inlineStr">
        <is>
          <t>USB Drive</t>
        </is>
      </c>
      <c r="F158" t="inlineStr">
        <is>
          <t>Accessories</t>
        </is>
      </c>
      <c r="G158" t="n">
        <v>3</v>
      </c>
      <c r="H158" s="9" t="n">
        <v>558.1900000000001</v>
      </c>
      <c r="I158" s="12" t="n">
        <v>0</v>
      </c>
      <c r="J158" s="9" t="n">
        <v>1674.57</v>
      </c>
      <c r="K158" t="inlineStr">
        <is>
          <t>Online</t>
        </is>
      </c>
    </row>
    <row r="159">
      <c r="A159" t="inlineStr">
        <is>
          <t>ORD0015</t>
        </is>
      </c>
      <c r="B159" s="11" t="n">
        <v>45854</v>
      </c>
      <c r="C159" t="inlineStr">
        <is>
          <t>Delhi</t>
        </is>
      </c>
      <c r="D159" t="inlineStr">
        <is>
          <t>South</t>
        </is>
      </c>
      <c r="E159" t="inlineStr">
        <is>
          <t>USB Drive</t>
        </is>
      </c>
      <c r="F159" t="inlineStr">
        <is>
          <t>Accessories</t>
        </is>
      </c>
      <c r="G159" t="n">
        <v>5</v>
      </c>
      <c r="H159" s="9" t="n">
        <v>589.61</v>
      </c>
      <c r="I159" s="12" t="n">
        <v>0</v>
      </c>
      <c r="J159" s="9" t="n">
        <v>2948.05</v>
      </c>
      <c r="K159" t="inlineStr">
        <is>
          <t>Online</t>
        </is>
      </c>
    </row>
    <row r="160">
      <c r="A160" t="inlineStr">
        <is>
          <t>ORD0030</t>
        </is>
      </c>
      <c r="B160" s="11" t="n">
        <v>45855</v>
      </c>
      <c r="C160" t="inlineStr">
        <is>
          <t>Pune</t>
        </is>
      </c>
      <c r="D160" t="inlineStr">
        <is>
          <t>East</t>
        </is>
      </c>
      <c r="E160" t="inlineStr">
        <is>
          <t>Monitor</t>
        </is>
      </c>
      <c r="F160" t="inlineStr">
        <is>
          <t>Electronics</t>
        </is>
      </c>
      <c r="G160" t="n">
        <v>5</v>
      </c>
      <c r="H160" s="9" t="n">
        <v>12477.77</v>
      </c>
      <c r="I160" s="12" t="n">
        <v>0.1</v>
      </c>
      <c r="J160" s="9" t="n">
        <v>56149.97</v>
      </c>
      <c r="K160" t="inlineStr">
        <is>
          <t>Online</t>
        </is>
      </c>
    </row>
    <row r="161">
      <c r="A161" t="inlineStr">
        <is>
          <t>ORD0081</t>
        </is>
      </c>
      <c r="B161" s="11" t="n">
        <v>45858</v>
      </c>
      <c r="C161" t="inlineStr">
        <is>
          <t>Mumbai</t>
        </is>
      </c>
      <c r="D161" t="inlineStr">
        <is>
          <t>West</t>
        </is>
      </c>
      <c r="E161" t="inlineStr">
        <is>
          <t>Notebook</t>
        </is>
      </c>
      <c r="F161" t="inlineStr">
        <is>
          <t>Stationery</t>
        </is>
      </c>
      <c r="G161" t="n">
        <v>7</v>
      </c>
      <c r="H161" s="9" t="n">
        <v>82.88</v>
      </c>
      <c r="I161" s="12" t="n">
        <v>0</v>
      </c>
      <c r="J161" s="9" t="n">
        <v>580.16</v>
      </c>
      <c r="K161" t="inlineStr">
        <is>
          <t>Retail</t>
        </is>
      </c>
    </row>
    <row r="162">
      <c r="A162" t="inlineStr">
        <is>
          <t>ORD0136</t>
        </is>
      </c>
      <c r="B162" s="11" t="n">
        <v>45860</v>
      </c>
      <c r="C162" t="inlineStr">
        <is>
          <t>Nashik</t>
        </is>
      </c>
      <c r="D162" t="inlineStr">
        <is>
          <t>East</t>
        </is>
      </c>
      <c r="E162" t="inlineStr">
        <is>
          <t>Headphones</t>
        </is>
      </c>
      <c r="F162" t="inlineStr">
        <is>
          <t>Electronics</t>
        </is>
      </c>
      <c r="G162" t="n">
        <v>5</v>
      </c>
      <c r="H162" s="9" t="n">
        <v>1789.16</v>
      </c>
      <c r="I162" s="12" t="n">
        <v>0</v>
      </c>
      <c r="J162" s="9" t="n">
        <v>8945.799999999999</v>
      </c>
      <c r="K162" t="inlineStr">
        <is>
          <t>Distributor</t>
        </is>
      </c>
    </row>
    <row r="163">
      <c r="A163" t="inlineStr">
        <is>
          <t>ORD0248</t>
        </is>
      </c>
      <c r="B163" s="11" t="n">
        <v>45861</v>
      </c>
      <c r="C163" t="inlineStr">
        <is>
          <t>Nagpur</t>
        </is>
      </c>
      <c r="D163" t="inlineStr">
        <is>
          <t>North</t>
        </is>
      </c>
      <c r="E163" t="inlineStr">
        <is>
          <t>Office Chair</t>
        </is>
      </c>
      <c r="F163" t="inlineStr">
        <is>
          <t>Furniture</t>
        </is>
      </c>
      <c r="G163" t="n">
        <v>5</v>
      </c>
      <c r="H163" s="9" t="n">
        <v>8349.6</v>
      </c>
      <c r="I163" s="12" t="n">
        <v>0</v>
      </c>
      <c r="J163" s="9" t="n">
        <v>41748</v>
      </c>
      <c r="K163" t="inlineStr">
        <is>
          <t>Retail</t>
        </is>
      </c>
    </row>
    <row r="164">
      <c r="A164" t="inlineStr">
        <is>
          <t>ORD0033</t>
        </is>
      </c>
      <c r="B164" s="11" t="n">
        <v>45863</v>
      </c>
      <c r="C164" t="inlineStr">
        <is>
          <t>Nagpur</t>
        </is>
      </c>
      <c r="D164" t="inlineStr">
        <is>
          <t>West</t>
        </is>
      </c>
      <c r="E164" t="inlineStr">
        <is>
          <t>Pen Pack</t>
        </is>
      </c>
      <c r="F164" t="inlineStr">
        <is>
          <t>Stationery</t>
        </is>
      </c>
      <c r="G164" t="n">
        <v>2</v>
      </c>
      <c r="H164" s="9" t="n">
        <v>151.86</v>
      </c>
      <c r="I164" s="12" t="n">
        <v>0</v>
      </c>
      <c r="J164" s="9" t="n">
        <v>303.72</v>
      </c>
      <c r="K164" t="inlineStr">
        <is>
          <t>Retail</t>
        </is>
      </c>
    </row>
    <row r="165">
      <c r="A165" t="inlineStr">
        <is>
          <t>ORD0053</t>
        </is>
      </c>
      <c r="B165" s="11" t="n">
        <v>45863</v>
      </c>
      <c r="C165" t="inlineStr">
        <is>
          <t>Nagpur</t>
        </is>
      </c>
      <c r="D165" t="inlineStr">
        <is>
          <t>South</t>
        </is>
      </c>
      <c r="E165" t="inlineStr">
        <is>
          <t>Notebook</t>
        </is>
      </c>
      <c r="F165" t="inlineStr">
        <is>
          <t>Stationery</t>
        </is>
      </c>
      <c r="G165" t="n">
        <v>1</v>
      </c>
      <c r="H165" s="9" t="n">
        <v>94.26000000000001</v>
      </c>
      <c r="I165" s="12" t="n">
        <v>0.15</v>
      </c>
      <c r="J165" s="9" t="n">
        <v>80.12</v>
      </c>
      <c r="K165" t="inlineStr">
        <is>
          <t>Online</t>
        </is>
      </c>
    </row>
    <row r="166">
      <c r="A166" t="inlineStr">
        <is>
          <t>ORD0259</t>
        </is>
      </c>
      <c r="B166" s="11" t="n">
        <v>45866</v>
      </c>
      <c r="C166" t="inlineStr">
        <is>
          <t>Thane</t>
        </is>
      </c>
      <c r="D166" t="inlineStr">
        <is>
          <t>West</t>
        </is>
      </c>
      <c r="E166" t="inlineStr">
        <is>
          <t>Desk</t>
        </is>
      </c>
      <c r="F166" t="inlineStr">
        <is>
          <t>Furniture</t>
        </is>
      </c>
      <c r="G166" t="n">
        <v>5</v>
      </c>
      <c r="H166" s="9" t="n">
        <v>8906.700000000001</v>
      </c>
      <c r="I166" s="12" t="n">
        <v>0.1</v>
      </c>
      <c r="J166" s="9" t="n">
        <v>40080.15</v>
      </c>
      <c r="K166" t="inlineStr">
        <is>
          <t>Retail</t>
        </is>
      </c>
    </row>
    <row r="167">
      <c r="A167" t="inlineStr">
        <is>
          <t>ORD0294</t>
        </is>
      </c>
      <c r="B167" s="11" t="n">
        <v>45870</v>
      </c>
      <c r="C167" t="inlineStr">
        <is>
          <t>Mumbai</t>
        </is>
      </c>
      <c r="D167" t="inlineStr">
        <is>
          <t>West</t>
        </is>
      </c>
      <c r="E167" t="inlineStr">
        <is>
          <t>Headphones</t>
        </is>
      </c>
      <c r="F167" t="inlineStr">
        <is>
          <t>Electronics</t>
        </is>
      </c>
      <c r="G167" t="n">
        <v>1</v>
      </c>
      <c r="H167" s="9" t="n">
        <v>1869.02</v>
      </c>
      <c r="I167" s="12" t="n">
        <v>0.05</v>
      </c>
      <c r="J167" s="9" t="n">
        <v>1775.57</v>
      </c>
      <c r="K167" t="inlineStr">
        <is>
          <t>Online</t>
        </is>
      </c>
    </row>
    <row r="168">
      <c r="A168" t="inlineStr">
        <is>
          <t>ORD0234</t>
        </is>
      </c>
      <c r="B168" s="11" t="n">
        <v>45870</v>
      </c>
      <c r="C168" t="inlineStr">
        <is>
          <t>Delhi</t>
        </is>
      </c>
      <c r="D168" t="inlineStr">
        <is>
          <t>South</t>
        </is>
      </c>
      <c r="E168" t="inlineStr">
        <is>
          <t>Keyboard</t>
        </is>
      </c>
      <c r="F168" t="inlineStr">
        <is>
          <t>Accessories</t>
        </is>
      </c>
      <c r="G168" t="n">
        <v>6</v>
      </c>
      <c r="H168" s="9" t="n">
        <v>1129.37</v>
      </c>
      <c r="I168" s="12" t="n">
        <v>0</v>
      </c>
      <c r="J168" s="9" t="n">
        <v>6776.22</v>
      </c>
      <c r="K168" t="inlineStr">
        <is>
          <t>Online</t>
        </is>
      </c>
    </row>
    <row r="169">
      <c r="A169" t="inlineStr">
        <is>
          <t>ORD0066</t>
        </is>
      </c>
      <c r="B169" s="11" t="n">
        <v>45872</v>
      </c>
      <c r="C169" t="inlineStr">
        <is>
          <t>Chennai</t>
        </is>
      </c>
      <c r="D169" t="inlineStr">
        <is>
          <t>North</t>
        </is>
      </c>
      <c r="E169" t="inlineStr">
        <is>
          <t>Office Chair</t>
        </is>
      </c>
      <c r="F169" t="inlineStr">
        <is>
          <t>Furniture</t>
        </is>
      </c>
      <c r="G169" t="n">
        <v>5</v>
      </c>
      <c r="H169" s="9" t="n">
        <v>7724.54</v>
      </c>
      <c r="I169" s="12" t="n">
        <v>0.1</v>
      </c>
      <c r="J169" s="9" t="n">
        <v>34760.43</v>
      </c>
      <c r="K169" t="inlineStr">
        <is>
          <t>Retail</t>
        </is>
      </c>
    </row>
    <row r="170">
      <c r="A170" t="inlineStr">
        <is>
          <t>ORD0131</t>
        </is>
      </c>
      <c r="B170" s="11" t="n">
        <v>45872</v>
      </c>
      <c r="C170" t="inlineStr">
        <is>
          <t>Nashik</t>
        </is>
      </c>
      <c r="D170" t="inlineStr">
        <is>
          <t>East</t>
        </is>
      </c>
      <c r="E170" t="inlineStr">
        <is>
          <t>Pen Pack</t>
        </is>
      </c>
      <c r="F170" t="inlineStr">
        <is>
          <t>Stationery</t>
        </is>
      </c>
      <c r="G170" t="n">
        <v>6</v>
      </c>
      <c r="H170" s="9" t="n">
        <v>156.32</v>
      </c>
      <c r="I170" s="12" t="n">
        <v>0</v>
      </c>
      <c r="J170" s="9" t="n">
        <v>937.92</v>
      </c>
      <c r="K170" t="inlineStr">
        <is>
          <t>Distributor</t>
        </is>
      </c>
    </row>
    <row r="171">
      <c r="A171" t="inlineStr">
        <is>
          <t>ORD0262</t>
        </is>
      </c>
      <c r="B171" s="11" t="n">
        <v>45872</v>
      </c>
      <c r="C171" t="inlineStr">
        <is>
          <t>Mumbai</t>
        </is>
      </c>
      <c r="D171" t="inlineStr">
        <is>
          <t>West</t>
        </is>
      </c>
      <c r="E171" t="inlineStr">
        <is>
          <t>Mouse</t>
        </is>
      </c>
      <c r="F171" t="inlineStr">
        <is>
          <t>Accessories</t>
        </is>
      </c>
      <c r="G171" t="n">
        <v>5</v>
      </c>
      <c r="H171" s="9" t="n">
        <v>635.11</v>
      </c>
      <c r="I171" s="12" t="n">
        <v>0</v>
      </c>
      <c r="J171" s="9" t="n">
        <v>3175.55</v>
      </c>
      <c r="K171" t="inlineStr">
        <is>
          <t>Distributor</t>
        </is>
      </c>
    </row>
    <row r="172">
      <c r="A172" t="inlineStr">
        <is>
          <t>ORD0145</t>
        </is>
      </c>
      <c r="B172" s="11" t="n">
        <v>45872</v>
      </c>
      <c r="C172" t="inlineStr">
        <is>
          <t>Thane</t>
        </is>
      </c>
      <c r="D172" t="inlineStr">
        <is>
          <t>South</t>
        </is>
      </c>
      <c r="E172" t="inlineStr">
        <is>
          <t>Mouse</t>
        </is>
      </c>
      <c r="F172" t="inlineStr">
        <is>
          <t>Accessories</t>
        </is>
      </c>
      <c r="G172" t="n">
        <v>5</v>
      </c>
      <c r="H172" s="9" t="n">
        <v>690.67</v>
      </c>
      <c r="I172" s="12" t="n">
        <v>0.15</v>
      </c>
      <c r="J172" s="9" t="n">
        <v>2935.35</v>
      </c>
      <c r="K172" t="inlineStr">
        <is>
          <t>Online</t>
        </is>
      </c>
    </row>
    <row r="173">
      <c r="A173" t="inlineStr">
        <is>
          <t>ORD0146</t>
        </is>
      </c>
      <c r="B173" s="11" t="n">
        <v>45872</v>
      </c>
      <c r="C173" t="inlineStr">
        <is>
          <t>Thane</t>
        </is>
      </c>
      <c r="D173" t="inlineStr">
        <is>
          <t>South</t>
        </is>
      </c>
      <c r="E173" t="inlineStr">
        <is>
          <t>Pen Pack</t>
        </is>
      </c>
      <c r="F173" t="inlineStr">
        <is>
          <t>Stationery</t>
        </is>
      </c>
      <c r="G173" t="n">
        <v>4</v>
      </c>
      <c r="H173" s="9" t="n">
        <v>151.57</v>
      </c>
      <c r="I173" s="12" t="n">
        <v>0.1</v>
      </c>
      <c r="J173" s="9" t="n">
        <v>545.65</v>
      </c>
      <c r="K173" t="inlineStr">
        <is>
          <t>Distributor</t>
        </is>
      </c>
    </row>
    <row r="174">
      <c r="A174" t="inlineStr">
        <is>
          <t>ORD0171</t>
        </is>
      </c>
      <c r="B174" s="11" t="n">
        <v>45873</v>
      </c>
      <c r="C174" t="inlineStr">
        <is>
          <t>Pune</t>
        </is>
      </c>
      <c r="D174" t="inlineStr">
        <is>
          <t>South</t>
        </is>
      </c>
      <c r="E174" t="inlineStr">
        <is>
          <t>Notebook</t>
        </is>
      </c>
      <c r="F174" t="inlineStr">
        <is>
          <t>Stationery</t>
        </is>
      </c>
      <c r="G174" t="n">
        <v>8</v>
      </c>
      <c r="H174" s="9" t="n">
        <v>87.45</v>
      </c>
      <c r="I174" s="12" t="n">
        <v>0</v>
      </c>
      <c r="J174" s="9" t="n">
        <v>699.6</v>
      </c>
      <c r="K174" t="inlineStr">
        <is>
          <t>Retail</t>
        </is>
      </c>
    </row>
    <row r="175">
      <c r="A175" t="inlineStr">
        <is>
          <t>ORD0141</t>
        </is>
      </c>
      <c r="B175" s="11" t="n">
        <v>45873</v>
      </c>
      <c r="C175" t="inlineStr">
        <is>
          <t>Mumbai</t>
        </is>
      </c>
      <c r="D175" t="inlineStr">
        <is>
          <t>West</t>
        </is>
      </c>
      <c r="E175" t="inlineStr">
        <is>
          <t>Laptop</t>
        </is>
      </c>
      <c r="F175" t="inlineStr">
        <is>
          <t>Electronics</t>
        </is>
      </c>
      <c r="G175" t="n">
        <v>7</v>
      </c>
      <c r="H175" s="9" t="n">
        <v>48824.97</v>
      </c>
      <c r="I175" s="12" t="n">
        <v>0.15</v>
      </c>
      <c r="J175" s="9" t="n">
        <v>290508.57</v>
      </c>
      <c r="K175" t="inlineStr">
        <is>
          <t>Online</t>
        </is>
      </c>
    </row>
    <row r="176">
      <c r="A176" t="inlineStr">
        <is>
          <t>ORD0278</t>
        </is>
      </c>
      <c r="B176" s="11" t="n">
        <v>45874</v>
      </c>
      <c r="C176" t="inlineStr">
        <is>
          <t>Mumbai</t>
        </is>
      </c>
      <c r="D176" t="inlineStr">
        <is>
          <t>East</t>
        </is>
      </c>
      <c r="E176" t="inlineStr">
        <is>
          <t>Office Chair</t>
        </is>
      </c>
      <c r="F176" t="inlineStr">
        <is>
          <t>Furniture</t>
        </is>
      </c>
      <c r="G176" t="n">
        <v>2</v>
      </c>
      <c r="H176" s="9" t="n">
        <v>7459.13</v>
      </c>
      <c r="I176" s="12" t="n">
        <v>0.05</v>
      </c>
      <c r="J176" s="9" t="n">
        <v>14172.35</v>
      </c>
      <c r="K176" t="inlineStr">
        <is>
          <t>Retail</t>
        </is>
      </c>
    </row>
    <row r="177">
      <c r="A177" t="inlineStr">
        <is>
          <t>ORD0046</t>
        </is>
      </c>
      <c r="B177" s="11" t="n">
        <v>45875</v>
      </c>
      <c r="C177" t="inlineStr">
        <is>
          <t>Mumbai</t>
        </is>
      </c>
      <c r="D177" t="inlineStr">
        <is>
          <t>East</t>
        </is>
      </c>
      <c r="E177" t="inlineStr">
        <is>
          <t>Pen Pack</t>
        </is>
      </c>
      <c r="F177" t="inlineStr">
        <is>
          <t>Stationery</t>
        </is>
      </c>
      <c r="G177" t="n">
        <v>3</v>
      </c>
      <c r="H177" s="9" t="n">
        <v>154.52</v>
      </c>
      <c r="I177" s="12" t="n">
        <v>0.15</v>
      </c>
      <c r="J177" s="9" t="n">
        <v>394.03</v>
      </c>
      <c r="K177" t="inlineStr">
        <is>
          <t>Distributor</t>
        </is>
      </c>
    </row>
    <row r="178">
      <c r="A178" t="inlineStr">
        <is>
          <t>ORD0166</t>
        </is>
      </c>
      <c r="B178" s="11" t="n">
        <v>45877</v>
      </c>
      <c r="C178" t="inlineStr">
        <is>
          <t>Pune</t>
        </is>
      </c>
      <c r="D178" t="inlineStr">
        <is>
          <t>North</t>
        </is>
      </c>
      <c r="E178" t="inlineStr">
        <is>
          <t>USB Drive</t>
        </is>
      </c>
      <c r="F178" t="inlineStr">
        <is>
          <t>Accessories</t>
        </is>
      </c>
      <c r="G178" t="n">
        <v>4</v>
      </c>
      <c r="H178" s="9" t="n">
        <v>522.9</v>
      </c>
      <c r="I178" s="12" t="n">
        <v>0</v>
      </c>
      <c r="J178" s="9" t="n">
        <v>2091.6</v>
      </c>
      <c r="K178" t="inlineStr">
        <is>
          <t>Retail</t>
        </is>
      </c>
    </row>
    <row r="179">
      <c r="A179" t="inlineStr">
        <is>
          <t>ORD0184</t>
        </is>
      </c>
      <c r="B179" s="11" t="n">
        <v>45877</v>
      </c>
      <c r="C179" t="inlineStr">
        <is>
          <t>Thane</t>
        </is>
      </c>
      <c r="D179" t="inlineStr">
        <is>
          <t>East</t>
        </is>
      </c>
      <c r="E179" t="inlineStr">
        <is>
          <t>Keyboard</t>
        </is>
      </c>
      <c r="F179" t="inlineStr">
        <is>
          <t>Accessories</t>
        </is>
      </c>
      <c r="G179" t="n">
        <v>3</v>
      </c>
      <c r="H179" s="9" t="n">
        <v>1265.49</v>
      </c>
      <c r="I179" s="12" t="n">
        <v>0</v>
      </c>
      <c r="J179" s="9" t="n">
        <v>3796.47</v>
      </c>
      <c r="K179" t="inlineStr">
        <is>
          <t>Online</t>
        </is>
      </c>
    </row>
    <row r="180">
      <c r="A180" t="inlineStr">
        <is>
          <t>ORD0069</t>
        </is>
      </c>
      <c r="B180" s="11" t="n">
        <v>45878</v>
      </c>
      <c r="C180" t="inlineStr">
        <is>
          <t>Mumbai</t>
        </is>
      </c>
      <c r="D180" t="inlineStr">
        <is>
          <t>South</t>
        </is>
      </c>
      <c r="E180" t="inlineStr">
        <is>
          <t>Notebook</t>
        </is>
      </c>
      <c r="F180" t="inlineStr">
        <is>
          <t>Stationery</t>
        </is>
      </c>
      <c r="G180" t="n">
        <v>7</v>
      </c>
      <c r="H180" s="9" t="n">
        <v>91.31</v>
      </c>
      <c r="I180" s="12" t="n">
        <v>0</v>
      </c>
      <c r="J180" s="9" t="n">
        <v>639.17</v>
      </c>
      <c r="K180" t="inlineStr">
        <is>
          <t>Online</t>
        </is>
      </c>
    </row>
    <row r="181">
      <c r="A181" t="inlineStr">
        <is>
          <t>ORD0153</t>
        </is>
      </c>
      <c r="B181" s="11" t="n">
        <v>45878</v>
      </c>
      <c r="C181" t="inlineStr">
        <is>
          <t>Delhi</t>
        </is>
      </c>
      <c r="D181" t="inlineStr">
        <is>
          <t>North</t>
        </is>
      </c>
      <c r="E181" t="inlineStr">
        <is>
          <t>Pen Pack</t>
        </is>
      </c>
      <c r="F181" t="inlineStr">
        <is>
          <t>Stationery</t>
        </is>
      </c>
      <c r="G181" t="n">
        <v>4</v>
      </c>
      <c r="H181" s="9" t="n">
        <v>150.26</v>
      </c>
      <c r="I181" s="12" t="n">
        <v>0.15</v>
      </c>
      <c r="J181" s="9" t="n">
        <v>510.88</v>
      </c>
      <c r="K181" t="inlineStr">
        <is>
          <t>Retail</t>
        </is>
      </c>
    </row>
    <row r="182">
      <c r="A182" t="inlineStr">
        <is>
          <t>ORD0074</t>
        </is>
      </c>
      <c r="B182" s="11" t="n">
        <v>45879</v>
      </c>
      <c r="C182" t="inlineStr">
        <is>
          <t>Chennai</t>
        </is>
      </c>
      <c r="D182" t="inlineStr">
        <is>
          <t>North</t>
        </is>
      </c>
      <c r="E182" t="inlineStr">
        <is>
          <t>Mouse</t>
        </is>
      </c>
      <c r="F182" t="inlineStr">
        <is>
          <t>Accessories</t>
        </is>
      </c>
      <c r="G182" t="n">
        <v>4</v>
      </c>
      <c r="H182" s="9" t="n">
        <v>667.24</v>
      </c>
      <c r="I182" s="12" t="n">
        <v>0.1</v>
      </c>
      <c r="J182" s="9" t="n">
        <v>2402.06</v>
      </c>
      <c r="K182" t="inlineStr">
        <is>
          <t>Distributor</t>
        </is>
      </c>
    </row>
    <row r="183">
      <c r="A183" t="inlineStr">
        <is>
          <t>ORD0113</t>
        </is>
      </c>
      <c r="B183" s="11" t="n">
        <v>45880</v>
      </c>
      <c r="C183" t="inlineStr">
        <is>
          <t>Bengaluru</t>
        </is>
      </c>
      <c r="D183" t="inlineStr">
        <is>
          <t>West</t>
        </is>
      </c>
      <c r="E183" t="inlineStr">
        <is>
          <t>Mouse</t>
        </is>
      </c>
      <c r="F183" t="inlineStr">
        <is>
          <t>Accessories</t>
        </is>
      </c>
      <c r="G183" t="n">
        <v>4</v>
      </c>
      <c r="H183" s="9" t="n">
        <v>654.23</v>
      </c>
      <c r="I183" s="12" t="n">
        <v>0.15</v>
      </c>
      <c r="J183" s="9" t="n">
        <v>2224.38</v>
      </c>
      <c r="K183" t="inlineStr">
        <is>
          <t>Online</t>
        </is>
      </c>
    </row>
    <row r="184">
      <c r="A184" t="inlineStr">
        <is>
          <t>ORD0247</t>
        </is>
      </c>
      <c r="B184" s="11" t="n">
        <v>45880</v>
      </c>
      <c r="C184" t="inlineStr">
        <is>
          <t>Chennai</t>
        </is>
      </c>
      <c r="D184" t="inlineStr">
        <is>
          <t>South</t>
        </is>
      </c>
      <c r="E184" t="inlineStr">
        <is>
          <t>Headphones</t>
        </is>
      </c>
      <c r="F184" t="inlineStr">
        <is>
          <t>Electronics</t>
        </is>
      </c>
      <c r="G184" t="n">
        <v>8</v>
      </c>
      <c r="H184" s="9" t="n">
        <v>1924.2</v>
      </c>
      <c r="I184" s="12" t="n">
        <v>0</v>
      </c>
      <c r="J184" s="9" t="n">
        <v>15393.6</v>
      </c>
      <c r="K184" t="inlineStr">
        <is>
          <t>Retail</t>
        </is>
      </c>
    </row>
    <row r="185">
      <c r="A185" t="inlineStr">
        <is>
          <t>ORD0211</t>
        </is>
      </c>
      <c r="B185" s="11" t="n">
        <v>45880</v>
      </c>
      <c r="C185" t="inlineStr">
        <is>
          <t>Bengaluru</t>
        </is>
      </c>
      <c r="D185" t="inlineStr">
        <is>
          <t>East</t>
        </is>
      </c>
      <c r="E185" t="inlineStr">
        <is>
          <t>Notebook</t>
        </is>
      </c>
      <c r="F185" t="inlineStr">
        <is>
          <t>Stationery</t>
        </is>
      </c>
      <c r="G185" t="n">
        <v>8</v>
      </c>
      <c r="H185" s="9" t="n">
        <v>92.95</v>
      </c>
      <c r="I185" s="12" t="n">
        <v>0</v>
      </c>
      <c r="J185" s="9" t="n">
        <v>743.6</v>
      </c>
      <c r="K185" t="inlineStr">
        <is>
          <t>Distributor</t>
        </is>
      </c>
    </row>
    <row r="186">
      <c r="A186" t="inlineStr">
        <is>
          <t>ORD0022</t>
        </is>
      </c>
      <c r="B186" s="11" t="n">
        <v>45881</v>
      </c>
      <c r="C186" t="inlineStr">
        <is>
          <t>Pune</t>
        </is>
      </c>
      <c r="D186" t="inlineStr">
        <is>
          <t>South</t>
        </is>
      </c>
      <c r="E186" t="inlineStr">
        <is>
          <t>Desk</t>
        </is>
      </c>
      <c r="F186" t="inlineStr">
        <is>
          <t>Furniture</t>
        </is>
      </c>
      <c r="G186" t="n">
        <v>8</v>
      </c>
      <c r="H186" s="9" t="n">
        <v>9642.08</v>
      </c>
      <c r="I186" s="12" t="n">
        <v>0.05</v>
      </c>
      <c r="J186" s="9" t="n">
        <v>73279.81</v>
      </c>
      <c r="K186" t="inlineStr">
        <is>
          <t>Retail</t>
        </is>
      </c>
    </row>
    <row r="187">
      <c r="A187" t="inlineStr">
        <is>
          <t>ORD0013</t>
        </is>
      </c>
      <c r="B187" s="11" t="n">
        <v>45881</v>
      </c>
      <c r="C187" t="inlineStr">
        <is>
          <t>Bengaluru</t>
        </is>
      </c>
      <c r="D187" t="inlineStr">
        <is>
          <t>South</t>
        </is>
      </c>
      <c r="E187" t="inlineStr">
        <is>
          <t>Office Chair</t>
        </is>
      </c>
      <c r="F187" t="inlineStr">
        <is>
          <t>Furniture</t>
        </is>
      </c>
      <c r="G187" t="n">
        <v>2</v>
      </c>
      <c r="H187" s="9" t="n">
        <v>7282.21</v>
      </c>
      <c r="I187" s="12" t="n">
        <v>0</v>
      </c>
      <c r="J187" s="9" t="n">
        <v>14564.42</v>
      </c>
      <c r="K187" t="inlineStr">
        <is>
          <t>Retail</t>
        </is>
      </c>
    </row>
    <row r="188">
      <c r="A188" t="inlineStr">
        <is>
          <t>ORD0112</t>
        </is>
      </c>
      <c r="B188" s="11" t="n">
        <v>45882</v>
      </c>
      <c r="C188" t="inlineStr">
        <is>
          <t>Thane</t>
        </is>
      </c>
      <c r="D188" t="inlineStr">
        <is>
          <t>North</t>
        </is>
      </c>
      <c r="E188" t="inlineStr">
        <is>
          <t>Keyboard</t>
        </is>
      </c>
      <c r="F188" t="inlineStr">
        <is>
          <t>Accessories</t>
        </is>
      </c>
      <c r="G188" t="n">
        <v>3</v>
      </c>
      <c r="H188" s="9" t="n">
        <v>1242.89</v>
      </c>
      <c r="I188" s="12" t="n">
        <v>0.15</v>
      </c>
      <c r="J188" s="9" t="n">
        <v>3169.37</v>
      </c>
      <c r="K188" t="inlineStr">
        <is>
          <t>Online</t>
        </is>
      </c>
    </row>
    <row r="189">
      <c r="A189" t="inlineStr">
        <is>
          <t>ORD0175</t>
        </is>
      </c>
      <c r="B189" s="11" t="n">
        <v>45883</v>
      </c>
      <c r="C189" t="inlineStr">
        <is>
          <t>Chennai</t>
        </is>
      </c>
      <c r="D189" t="inlineStr">
        <is>
          <t>East</t>
        </is>
      </c>
      <c r="E189" t="inlineStr">
        <is>
          <t>Pen Pack</t>
        </is>
      </c>
      <c r="F189" t="inlineStr">
        <is>
          <t>Stationery</t>
        </is>
      </c>
      <c r="G189" t="n">
        <v>5</v>
      </c>
      <c r="H189" s="9" t="n">
        <v>149.37</v>
      </c>
      <c r="I189" s="12" t="n">
        <v>0.1</v>
      </c>
      <c r="J189" s="9" t="n">
        <v>672.17</v>
      </c>
      <c r="K189" t="inlineStr">
        <is>
          <t>Retail</t>
        </is>
      </c>
    </row>
    <row r="190">
      <c r="A190" t="inlineStr">
        <is>
          <t>ORD0272</t>
        </is>
      </c>
      <c r="B190" s="11" t="n">
        <v>45883</v>
      </c>
      <c r="C190" t="inlineStr">
        <is>
          <t>Nagpur</t>
        </is>
      </c>
      <c r="D190" t="inlineStr">
        <is>
          <t>West</t>
        </is>
      </c>
      <c r="E190" t="inlineStr">
        <is>
          <t>Desk</t>
        </is>
      </c>
      <c r="F190" t="inlineStr">
        <is>
          <t>Furniture</t>
        </is>
      </c>
      <c r="G190" t="n">
        <v>4</v>
      </c>
      <c r="H190" s="9" t="n">
        <v>10199.46</v>
      </c>
      <c r="I190" s="12" t="n">
        <v>0</v>
      </c>
      <c r="J190" s="9" t="n">
        <v>40797.84</v>
      </c>
      <c r="K190" t="inlineStr">
        <is>
          <t>Online</t>
        </is>
      </c>
    </row>
    <row r="191">
      <c r="A191" t="inlineStr">
        <is>
          <t>ORD0288</t>
        </is>
      </c>
      <c r="B191" s="11" t="n">
        <v>45884</v>
      </c>
      <c r="C191" t="inlineStr">
        <is>
          <t>Bengaluru</t>
        </is>
      </c>
      <c r="D191" t="inlineStr">
        <is>
          <t>West</t>
        </is>
      </c>
      <c r="E191" t="inlineStr">
        <is>
          <t>Notebook</t>
        </is>
      </c>
      <c r="F191" t="inlineStr">
        <is>
          <t>Stationery</t>
        </is>
      </c>
      <c r="G191" t="n">
        <v>7</v>
      </c>
      <c r="H191" s="9" t="n">
        <v>94.29000000000001</v>
      </c>
      <c r="I191" s="12" t="n">
        <v>0.05</v>
      </c>
      <c r="J191" s="9" t="n">
        <v>627.03</v>
      </c>
      <c r="K191" t="inlineStr">
        <is>
          <t>Distributor</t>
        </is>
      </c>
    </row>
    <row r="192">
      <c r="A192" t="inlineStr">
        <is>
          <t>ORD0182</t>
        </is>
      </c>
      <c r="B192" s="11" t="n">
        <v>45886</v>
      </c>
      <c r="C192" t="inlineStr">
        <is>
          <t>Delhi</t>
        </is>
      </c>
      <c r="D192" t="inlineStr">
        <is>
          <t>East</t>
        </is>
      </c>
      <c r="E192" t="inlineStr">
        <is>
          <t>Laptop</t>
        </is>
      </c>
      <c r="F192" t="inlineStr">
        <is>
          <t>Electronics</t>
        </is>
      </c>
      <c r="G192" t="n">
        <v>6</v>
      </c>
      <c r="H192" s="9" t="n">
        <v>48406.31</v>
      </c>
      <c r="I192" s="12" t="n">
        <v>0.15</v>
      </c>
      <c r="J192" s="9" t="n">
        <v>246872.18</v>
      </c>
      <c r="K192" t="inlineStr">
        <is>
          <t>Online</t>
        </is>
      </c>
    </row>
    <row r="193">
      <c r="A193" t="inlineStr">
        <is>
          <t>ORD0173</t>
        </is>
      </c>
      <c r="B193" s="11" t="n">
        <v>45887</v>
      </c>
      <c r="C193" t="inlineStr">
        <is>
          <t>Pune</t>
        </is>
      </c>
      <c r="D193" t="inlineStr">
        <is>
          <t>West</t>
        </is>
      </c>
      <c r="E193" t="inlineStr">
        <is>
          <t>Office Chair</t>
        </is>
      </c>
      <c r="F193" t="inlineStr">
        <is>
          <t>Furniture</t>
        </is>
      </c>
      <c r="G193" t="n">
        <v>1</v>
      </c>
      <c r="H193" s="9" t="n">
        <v>8071.89</v>
      </c>
      <c r="I193" s="12" t="n">
        <v>0</v>
      </c>
      <c r="J193" s="9" t="n">
        <v>8071.89</v>
      </c>
      <c r="K193" t="inlineStr">
        <is>
          <t>Retail</t>
        </is>
      </c>
    </row>
    <row r="194">
      <c r="A194" t="inlineStr">
        <is>
          <t>ORD0068</t>
        </is>
      </c>
      <c r="B194" s="11" t="n">
        <v>45888</v>
      </c>
      <c r="C194" t="inlineStr">
        <is>
          <t>Nashik</t>
        </is>
      </c>
      <c r="D194" t="inlineStr">
        <is>
          <t>West</t>
        </is>
      </c>
      <c r="E194" t="inlineStr">
        <is>
          <t>Headphones</t>
        </is>
      </c>
      <c r="F194" t="inlineStr">
        <is>
          <t>Electronics</t>
        </is>
      </c>
      <c r="G194" t="n">
        <v>4</v>
      </c>
      <c r="H194" s="9" t="n">
        <v>1787.05</v>
      </c>
      <c r="I194" s="12" t="n">
        <v>0.15</v>
      </c>
      <c r="J194" s="9" t="n">
        <v>6075.97</v>
      </c>
      <c r="K194" t="inlineStr">
        <is>
          <t>Retail</t>
        </is>
      </c>
    </row>
    <row r="195">
      <c r="A195" t="inlineStr">
        <is>
          <t>ORD0027</t>
        </is>
      </c>
      <c r="B195" s="11" t="n">
        <v>45888</v>
      </c>
      <c r="C195" t="inlineStr">
        <is>
          <t>Mumbai</t>
        </is>
      </c>
      <c r="D195" t="inlineStr">
        <is>
          <t>North</t>
        </is>
      </c>
      <c r="E195" t="inlineStr">
        <is>
          <t>Office Chair</t>
        </is>
      </c>
      <c r="F195" t="inlineStr">
        <is>
          <t>Furniture</t>
        </is>
      </c>
      <c r="G195" t="n">
        <v>7</v>
      </c>
      <c r="H195" s="9" t="n">
        <v>7898.25</v>
      </c>
      <c r="I195" s="12" t="n">
        <v>0.05</v>
      </c>
      <c r="J195" s="9" t="n">
        <v>52523.36</v>
      </c>
      <c r="K195" t="inlineStr">
        <is>
          <t>Retail</t>
        </is>
      </c>
    </row>
    <row r="196">
      <c r="A196" t="inlineStr">
        <is>
          <t>ORD0231</t>
        </is>
      </c>
      <c r="B196" s="11" t="n">
        <v>45889</v>
      </c>
      <c r="C196" t="inlineStr">
        <is>
          <t>Nashik</t>
        </is>
      </c>
      <c r="D196" t="inlineStr">
        <is>
          <t>South</t>
        </is>
      </c>
      <c r="E196" t="inlineStr">
        <is>
          <t>Monitor</t>
        </is>
      </c>
      <c r="F196" t="inlineStr">
        <is>
          <t>Electronics</t>
        </is>
      </c>
      <c r="G196" t="n">
        <v>5</v>
      </c>
      <c r="H196" s="9" t="n">
        <v>12184.08</v>
      </c>
      <c r="I196" s="12" t="n">
        <v>0</v>
      </c>
      <c r="J196" s="9" t="n">
        <v>60920.4</v>
      </c>
      <c r="K196" t="inlineStr">
        <is>
          <t>Online</t>
        </is>
      </c>
    </row>
    <row r="197">
      <c r="A197" t="inlineStr">
        <is>
          <t>ORD0216</t>
        </is>
      </c>
      <c r="B197" s="11" t="n">
        <v>45894</v>
      </c>
      <c r="C197" t="inlineStr">
        <is>
          <t>Nashik</t>
        </is>
      </c>
      <c r="D197" t="inlineStr">
        <is>
          <t>East</t>
        </is>
      </c>
      <c r="E197" t="inlineStr">
        <is>
          <t>Mouse</t>
        </is>
      </c>
      <c r="F197" t="inlineStr">
        <is>
          <t>Accessories</t>
        </is>
      </c>
      <c r="G197" t="n">
        <v>7</v>
      </c>
      <c r="H197" s="9" t="n">
        <v>661.02</v>
      </c>
      <c r="I197" s="12" t="n">
        <v>0.1</v>
      </c>
      <c r="J197" s="9" t="n">
        <v>4164.43</v>
      </c>
      <c r="K197" t="inlineStr">
        <is>
          <t>Distributor</t>
        </is>
      </c>
    </row>
    <row r="198">
      <c r="A198" t="inlineStr">
        <is>
          <t>ORD0239</t>
        </is>
      </c>
      <c r="B198" s="11" t="n">
        <v>45895</v>
      </c>
      <c r="C198" t="inlineStr">
        <is>
          <t>Chennai</t>
        </is>
      </c>
      <c r="D198" t="inlineStr">
        <is>
          <t>West</t>
        </is>
      </c>
      <c r="E198" t="inlineStr">
        <is>
          <t>Keyboard</t>
        </is>
      </c>
      <c r="F198" t="inlineStr">
        <is>
          <t>Accessories</t>
        </is>
      </c>
      <c r="G198" t="n">
        <v>4</v>
      </c>
      <c r="H198" s="9" t="n">
        <v>1204.55</v>
      </c>
      <c r="I198" s="12" t="n">
        <v>0</v>
      </c>
      <c r="J198" s="9" t="n">
        <v>4818.2</v>
      </c>
      <c r="K198" t="inlineStr">
        <is>
          <t>Distributor</t>
        </is>
      </c>
    </row>
    <row r="199">
      <c r="A199" t="inlineStr">
        <is>
          <t>ORD0185</t>
        </is>
      </c>
      <c r="B199" s="11" t="n">
        <v>45896</v>
      </c>
      <c r="C199" t="inlineStr">
        <is>
          <t>Chennai</t>
        </is>
      </c>
      <c r="D199" t="inlineStr">
        <is>
          <t>East</t>
        </is>
      </c>
      <c r="E199" t="inlineStr">
        <is>
          <t>Keyboard</t>
        </is>
      </c>
      <c r="F199" t="inlineStr">
        <is>
          <t>Accessories</t>
        </is>
      </c>
      <c r="G199" t="n">
        <v>8</v>
      </c>
      <c r="H199" s="9" t="n">
        <v>1186.57</v>
      </c>
      <c r="I199" s="12" t="n">
        <v>0.15</v>
      </c>
      <c r="J199" s="9" t="n">
        <v>8068.68</v>
      </c>
      <c r="K199" t="inlineStr">
        <is>
          <t>Retail</t>
        </is>
      </c>
    </row>
    <row r="200">
      <c r="A200" t="inlineStr">
        <is>
          <t>ORD0020</t>
        </is>
      </c>
      <c r="B200" s="11" t="n">
        <v>45897</v>
      </c>
      <c r="C200" t="inlineStr">
        <is>
          <t>Chennai</t>
        </is>
      </c>
      <c r="D200" t="inlineStr">
        <is>
          <t>South</t>
        </is>
      </c>
      <c r="E200" t="inlineStr">
        <is>
          <t>Notebook</t>
        </is>
      </c>
      <c r="F200" t="inlineStr">
        <is>
          <t>Stationery</t>
        </is>
      </c>
      <c r="G200" t="n">
        <v>6</v>
      </c>
      <c r="H200" s="9" t="n">
        <v>87.55</v>
      </c>
      <c r="I200" s="12" t="n">
        <v>0</v>
      </c>
      <c r="J200" s="9" t="n">
        <v>525.3</v>
      </c>
      <c r="K200" t="inlineStr">
        <is>
          <t>Distributor</t>
        </is>
      </c>
    </row>
    <row r="201">
      <c r="A201" t="inlineStr">
        <is>
          <t>ORD0170</t>
        </is>
      </c>
      <c r="B201" s="11" t="n">
        <v>45898</v>
      </c>
      <c r="C201" t="inlineStr">
        <is>
          <t>Pune</t>
        </is>
      </c>
      <c r="D201" t="inlineStr">
        <is>
          <t>South</t>
        </is>
      </c>
      <c r="E201" t="inlineStr">
        <is>
          <t>Notebook</t>
        </is>
      </c>
      <c r="F201" t="inlineStr">
        <is>
          <t>Stationery</t>
        </is>
      </c>
      <c r="G201" t="n">
        <v>2</v>
      </c>
      <c r="H201" s="9" t="n">
        <v>94.23999999999999</v>
      </c>
      <c r="I201" s="12" t="n">
        <v>0</v>
      </c>
      <c r="J201" s="9" t="n">
        <v>188.48</v>
      </c>
      <c r="K201" t="inlineStr">
        <is>
          <t>Online</t>
        </is>
      </c>
    </row>
    <row r="202">
      <c r="A202" t="inlineStr">
        <is>
          <t>ORD0128</t>
        </is>
      </c>
      <c r="B202" s="11" t="n">
        <v>45898</v>
      </c>
      <c r="C202" t="inlineStr">
        <is>
          <t>Delhi</t>
        </is>
      </c>
      <c r="D202" t="inlineStr">
        <is>
          <t>North</t>
        </is>
      </c>
      <c r="E202" t="inlineStr">
        <is>
          <t>Desk</t>
        </is>
      </c>
      <c r="F202" t="inlineStr">
        <is>
          <t>Furniture</t>
        </is>
      </c>
      <c r="G202" t="n">
        <v>3</v>
      </c>
      <c r="H202" s="9" t="n">
        <v>9193.82</v>
      </c>
      <c r="I202" s="12" t="n">
        <v>0.1</v>
      </c>
      <c r="J202" s="9" t="n">
        <v>24823.31</v>
      </c>
      <c r="K202" t="inlineStr">
        <is>
          <t>Retail</t>
        </is>
      </c>
    </row>
    <row r="203">
      <c r="A203" t="inlineStr">
        <is>
          <t>ORD0075</t>
        </is>
      </c>
      <c r="B203" s="11" t="n">
        <v>45902</v>
      </c>
      <c r="C203" t="inlineStr">
        <is>
          <t>Nagpur</t>
        </is>
      </c>
      <c r="D203" t="inlineStr">
        <is>
          <t>East</t>
        </is>
      </c>
      <c r="E203" t="inlineStr">
        <is>
          <t>Pen Pack</t>
        </is>
      </c>
      <c r="F203" t="inlineStr">
        <is>
          <t>Stationery</t>
        </is>
      </c>
      <c r="G203" t="n">
        <v>2</v>
      </c>
      <c r="H203" s="9" t="n">
        <v>148.7</v>
      </c>
      <c r="I203" s="12" t="n">
        <v>0.1</v>
      </c>
      <c r="J203" s="9" t="n">
        <v>267.66</v>
      </c>
      <c r="K203" t="inlineStr">
        <is>
          <t>Online</t>
        </is>
      </c>
    </row>
    <row r="204">
      <c r="A204" t="inlineStr">
        <is>
          <t>ORD0080</t>
        </is>
      </c>
      <c r="B204" s="11" t="n">
        <v>45903</v>
      </c>
      <c r="C204" t="inlineStr">
        <is>
          <t>Nashik</t>
        </is>
      </c>
      <c r="D204" t="inlineStr">
        <is>
          <t>North</t>
        </is>
      </c>
      <c r="E204" t="inlineStr">
        <is>
          <t>Mouse</t>
        </is>
      </c>
      <c r="F204" t="inlineStr">
        <is>
          <t>Accessories</t>
        </is>
      </c>
      <c r="G204" t="n">
        <v>8</v>
      </c>
      <c r="H204" s="9" t="n">
        <v>636.17</v>
      </c>
      <c r="I204" s="12" t="n">
        <v>0</v>
      </c>
      <c r="J204" s="9" t="n">
        <v>5089.36</v>
      </c>
      <c r="K204" t="inlineStr">
        <is>
          <t>Online</t>
        </is>
      </c>
    </row>
    <row r="205">
      <c r="A205" t="inlineStr">
        <is>
          <t>ORD0008</t>
        </is>
      </c>
      <c r="B205" s="11" t="n">
        <v>45903</v>
      </c>
      <c r="C205" t="inlineStr">
        <is>
          <t>Chennai</t>
        </is>
      </c>
      <c r="D205" t="inlineStr">
        <is>
          <t>South</t>
        </is>
      </c>
      <c r="E205" t="inlineStr">
        <is>
          <t>USB Drive</t>
        </is>
      </c>
      <c r="F205" t="inlineStr">
        <is>
          <t>Accessories</t>
        </is>
      </c>
      <c r="G205" t="n">
        <v>2</v>
      </c>
      <c r="H205" s="9" t="n">
        <v>551.78</v>
      </c>
      <c r="I205" s="12" t="n">
        <v>0.15</v>
      </c>
      <c r="J205" s="9" t="n">
        <v>938.03</v>
      </c>
      <c r="K205" t="inlineStr">
        <is>
          <t>Retail</t>
        </is>
      </c>
    </row>
    <row r="206">
      <c r="A206" t="inlineStr">
        <is>
          <t>ORD0056</t>
        </is>
      </c>
      <c r="B206" s="11" t="n">
        <v>45904</v>
      </c>
      <c r="C206" t="inlineStr">
        <is>
          <t>Delhi</t>
        </is>
      </c>
      <c r="D206" t="inlineStr">
        <is>
          <t>South</t>
        </is>
      </c>
      <c r="E206" t="inlineStr">
        <is>
          <t>Headphones</t>
        </is>
      </c>
      <c r="F206" t="inlineStr">
        <is>
          <t>Electronics</t>
        </is>
      </c>
      <c r="G206" t="n">
        <v>2</v>
      </c>
      <c r="H206" s="9" t="n">
        <v>1874.25</v>
      </c>
      <c r="I206" s="12" t="n">
        <v>0.15</v>
      </c>
      <c r="J206" s="9" t="n">
        <v>3186.22</v>
      </c>
      <c r="K206" t="inlineStr">
        <is>
          <t>Online</t>
        </is>
      </c>
    </row>
    <row r="207">
      <c r="A207" t="inlineStr">
        <is>
          <t>ORD0105</t>
        </is>
      </c>
      <c r="B207" s="11" t="n">
        <v>45905</v>
      </c>
      <c r="C207" t="inlineStr">
        <is>
          <t>Chennai</t>
        </is>
      </c>
      <c r="D207" t="inlineStr">
        <is>
          <t>North</t>
        </is>
      </c>
      <c r="E207" t="inlineStr">
        <is>
          <t>Pen Pack</t>
        </is>
      </c>
      <c r="F207" t="inlineStr">
        <is>
          <t>Stationery</t>
        </is>
      </c>
      <c r="G207" t="n">
        <v>4</v>
      </c>
      <c r="H207" s="9" t="n">
        <v>149.74</v>
      </c>
      <c r="I207" s="12" t="n">
        <v>0</v>
      </c>
      <c r="J207" s="9" t="n">
        <v>598.96</v>
      </c>
      <c r="K207" t="inlineStr">
        <is>
          <t>Retail</t>
        </is>
      </c>
    </row>
    <row r="208">
      <c r="A208" t="inlineStr">
        <is>
          <t>ORD0042</t>
        </is>
      </c>
      <c r="B208" s="11" t="n">
        <v>45906</v>
      </c>
      <c r="C208" t="inlineStr">
        <is>
          <t>Nashik</t>
        </is>
      </c>
      <c r="D208" t="inlineStr">
        <is>
          <t>West</t>
        </is>
      </c>
      <c r="E208" t="inlineStr">
        <is>
          <t>Mouse</t>
        </is>
      </c>
      <c r="F208" t="inlineStr">
        <is>
          <t>Accessories</t>
        </is>
      </c>
      <c r="G208" t="n">
        <v>3</v>
      </c>
      <c r="H208" s="9" t="n">
        <v>617.27</v>
      </c>
      <c r="I208" s="12" t="n">
        <v>0.1</v>
      </c>
      <c r="J208" s="9" t="n">
        <v>1666.63</v>
      </c>
      <c r="K208" t="inlineStr">
        <is>
          <t>Online</t>
        </is>
      </c>
    </row>
    <row r="209">
      <c r="A209" t="inlineStr">
        <is>
          <t>ORD0191</t>
        </is>
      </c>
      <c r="B209" s="11" t="n">
        <v>45908</v>
      </c>
      <c r="C209" t="inlineStr">
        <is>
          <t>Pune</t>
        </is>
      </c>
      <c r="D209" t="inlineStr">
        <is>
          <t>North</t>
        </is>
      </c>
      <c r="E209" t="inlineStr">
        <is>
          <t>Mouse</t>
        </is>
      </c>
      <c r="F209" t="inlineStr">
        <is>
          <t>Accessories</t>
        </is>
      </c>
      <c r="G209" t="n">
        <v>8</v>
      </c>
      <c r="H209" s="9" t="n">
        <v>645.96</v>
      </c>
      <c r="I209" s="12" t="n">
        <v>0.05</v>
      </c>
      <c r="J209" s="9" t="n">
        <v>4909.3</v>
      </c>
      <c r="K209" t="inlineStr">
        <is>
          <t>Online</t>
        </is>
      </c>
    </row>
    <row r="210">
      <c r="A210" t="inlineStr">
        <is>
          <t>ORD0086</t>
        </is>
      </c>
      <c r="B210" s="11" t="n">
        <v>45908</v>
      </c>
      <c r="C210" t="inlineStr">
        <is>
          <t>Nagpur</t>
        </is>
      </c>
      <c r="D210" t="inlineStr">
        <is>
          <t>South</t>
        </is>
      </c>
      <c r="E210" t="inlineStr">
        <is>
          <t>Laptop</t>
        </is>
      </c>
      <c r="F210" t="inlineStr">
        <is>
          <t>Electronics</t>
        </is>
      </c>
      <c r="G210" t="n">
        <v>1</v>
      </c>
      <c r="H210" s="9" t="n">
        <v>52840.97</v>
      </c>
      <c r="I210" s="12" t="n">
        <v>0</v>
      </c>
      <c r="J210" s="9" t="n">
        <v>52840.97</v>
      </c>
      <c r="K210" t="inlineStr">
        <is>
          <t>Retail</t>
        </is>
      </c>
    </row>
    <row r="211">
      <c r="A211" t="inlineStr">
        <is>
          <t>ORD0093</t>
        </is>
      </c>
      <c r="B211" s="11" t="n">
        <v>45910</v>
      </c>
      <c r="C211" t="inlineStr">
        <is>
          <t>Thane</t>
        </is>
      </c>
      <c r="D211" t="inlineStr">
        <is>
          <t>South</t>
        </is>
      </c>
      <c r="E211" t="inlineStr">
        <is>
          <t>Desk</t>
        </is>
      </c>
      <c r="F211" t="inlineStr">
        <is>
          <t>Furniture</t>
        </is>
      </c>
      <c r="G211" t="n">
        <v>8</v>
      </c>
      <c r="H211" s="9" t="n">
        <v>9995.08</v>
      </c>
      <c r="I211" s="12" t="n">
        <v>0.05</v>
      </c>
      <c r="J211" s="9" t="n">
        <v>75962.61</v>
      </c>
      <c r="K211" t="inlineStr">
        <is>
          <t>Online</t>
        </is>
      </c>
    </row>
    <row r="212">
      <c r="A212" t="inlineStr">
        <is>
          <t>ORD0249</t>
        </is>
      </c>
      <c r="B212" s="11" t="n">
        <v>45913</v>
      </c>
      <c r="C212" t="inlineStr">
        <is>
          <t>Pune</t>
        </is>
      </c>
      <c r="D212" t="inlineStr">
        <is>
          <t>East</t>
        </is>
      </c>
      <c r="E212" t="inlineStr">
        <is>
          <t>Pen Pack</t>
        </is>
      </c>
      <c r="F212" t="inlineStr">
        <is>
          <t>Stationery</t>
        </is>
      </c>
      <c r="G212" t="n">
        <v>1</v>
      </c>
      <c r="H212" s="9" t="n">
        <v>150</v>
      </c>
      <c r="I212" s="12" t="n">
        <v>0</v>
      </c>
      <c r="J212" s="9" t="n">
        <v>150</v>
      </c>
      <c r="K212" t="inlineStr">
        <is>
          <t>Distributor</t>
        </is>
      </c>
    </row>
    <row r="213">
      <c r="A213" t="inlineStr">
        <is>
          <t>ORD0067</t>
        </is>
      </c>
      <c r="B213" s="11" t="n">
        <v>45913</v>
      </c>
      <c r="C213" t="inlineStr">
        <is>
          <t>Delhi</t>
        </is>
      </c>
      <c r="D213" t="inlineStr">
        <is>
          <t>West</t>
        </is>
      </c>
      <c r="E213" t="inlineStr">
        <is>
          <t>Office Chair</t>
        </is>
      </c>
      <c r="F213" t="inlineStr">
        <is>
          <t>Furniture</t>
        </is>
      </c>
      <c r="G213" t="n">
        <v>1</v>
      </c>
      <c r="H213" s="9" t="n">
        <v>7819.75</v>
      </c>
      <c r="I213" s="12" t="n">
        <v>0</v>
      </c>
      <c r="J213" s="9" t="n">
        <v>7819.75</v>
      </c>
      <c r="K213" t="inlineStr">
        <is>
          <t>Retail</t>
        </is>
      </c>
    </row>
    <row r="214">
      <c r="A214" t="inlineStr">
        <is>
          <t>ORD0092</t>
        </is>
      </c>
      <c r="B214" s="11" t="n">
        <v>45914</v>
      </c>
      <c r="C214" t="inlineStr">
        <is>
          <t>Nashik</t>
        </is>
      </c>
      <c r="D214" t="inlineStr">
        <is>
          <t>North</t>
        </is>
      </c>
      <c r="E214" t="inlineStr">
        <is>
          <t>Office Chair</t>
        </is>
      </c>
      <c r="F214" t="inlineStr">
        <is>
          <t>Furniture</t>
        </is>
      </c>
      <c r="G214" t="n">
        <v>8</v>
      </c>
      <c r="H214" s="9" t="n">
        <v>7338.49</v>
      </c>
      <c r="I214" s="12" t="n">
        <v>0</v>
      </c>
      <c r="J214" s="9" t="n">
        <v>58707.92</v>
      </c>
      <c r="K214" t="inlineStr">
        <is>
          <t>Retail</t>
        </is>
      </c>
    </row>
    <row r="215">
      <c r="A215" t="inlineStr">
        <is>
          <t>ORD0143</t>
        </is>
      </c>
      <c r="B215" s="11" t="n">
        <v>45915</v>
      </c>
      <c r="C215" t="inlineStr">
        <is>
          <t>Pune</t>
        </is>
      </c>
      <c r="D215" t="inlineStr">
        <is>
          <t>East</t>
        </is>
      </c>
      <c r="E215" t="inlineStr">
        <is>
          <t>Monitor</t>
        </is>
      </c>
      <c r="F215" t="inlineStr">
        <is>
          <t>Electronics</t>
        </is>
      </c>
      <c r="G215" t="n">
        <v>8</v>
      </c>
      <c r="H215" s="9" t="n">
        <v>12951.8</v>
      </c>
      <c r="I215" s="12" t="n">
        <v>0.1</v>
      </c>
      <c r="J215" s="9" t="n">
        <v>93252.96000000001</v>
      </c>
      <c r="K215" t="inlineStr">
        <is>
          <t>Online</t>
        </is>
      </c>
    </row>
    <row r="216">
      <c r="A216" t="inlineStr">
        <is>
          <t>ORD0006</t>
        </is>
      </c>
      <c r="B216" s="11" t="n">
        <v>45915</v>
      </c>
      <c r="C216" t="inlineStr">
        <is>
          <t>Mumbai</t>
        </is>
      </c>
      <c r="D216" t="inlineStr">
        <is>
          <t>North</t>
        </is>
      </c>
      <c r="E216" t="inlineStr">
        <is>
          <t>Keyboard</t>
        </is>
      </c>
      <c r="F216" t="inlineStr">
        <is>
          <t>Accessories</t>
        </is>
      </c>
      <c r="G216" t="n">
        <v>7</v>
      </c>
      <c r="H216" s="9" t="n">
        <v>1148.71</v>
      </c>
      <c r="I216" s="12" t="n">
        <v>0.15</v>
      </c>
      <c r="J216" s="9" t="n">
        <v>6834.82</v>
      </c>
      <c r="K216" t="inlineStr">
        <is>
          <t>Retail</t>
        </is>
      </c>
    </row>
    <row r="217">
      <c r="A217" t="inlineStr">
        <is>
          <t>ORD0214</t>
        </is>
      </c>
      <c r="B217" s="11" t="n">
        <v>45915</v>
      </c>
      <c r="C217" t="inlineStr">
        <is>
          <t>Nagpur</t>
        </is>
      </c>
      <c r="D217" t="inlineStr">
        <is>
          <t>North</t>
        </is>
      </c>
      <c r="E217" t="inlineStr">
        <is>
          <t>Laptop</t>
        </is>
      </c>
      <c r="F217" t="inlineStr">
        <is>
          <t>Electronics</t>
        </is>
      </c>
      <c r="G217" t="n">
        <v>8</v>
      </c>
      <c r="H217" s="9" t="n">
        <v>50910.36</v>
      </c>
      <c r="I217" s="12" t="n">
        <v>0.15</v>
      </c>
      <c r="J217" s="9" t="n">
        <v>346190.45</v>
      </c>
      <c r="K217" t="inlineStr">
        <is>
          <t>Distributor</t>
        </is>
      </c>
    </row>
    <row r="218">
      <c r="A218" t="inlineStr">
        <is>
          <t>ORD0292</t>
        </is>
      </c>
      <c r="B218" s="11" t="n">
        <v>45917</v>
      </c>
      <c r="C218" t="inlineStr">
        <is>
          <t>Thane</t>
        </is>
      </c>
      <c r="D218" t="inlineStr">
        <is>
          <t>East</t>
        </is>
      </c>
      <c r="E218" t="inlineStr">
        <is>
          <t>Mouse</t>
        </is>
      </c>
      <c r="F218" t="inlineStr">
        <is>
          <t>Accessories</t>
        </is>
      </c>
      <c r="G218" t="n">
        <v>5</v>
      </c>
      <c r="H218" s="9" t="n">
        <v>612.55</v>
      </c>
      <c r="I218" s="12" t="n">
        <v>0</v>
      </c>
      <c r="J218" s="9" t="n">
        <v>3062.75</v>
      </c>
      <c r="K218" t="inlineStr">
        <is>
          <t>Retail</t>
        </is>
      </c>
    </row>
    <row r="219">
      <c r="A219" t="inlineStr">
        <is>
          <t>ORD0127</t>
        </is>
      </c>
      <c r="B219" s="11" t="n">
        <v>45918</v>
      </c>
      <c r="C219" t="inlineStr">
        <is>
          <t>Thane</t>
        </is>
      </c>
      <c r="D219" t="inlineStr">
        <is>
          <t>South</t>
        </is>
      </c>
      <c r="E219" t="inlineStr">
        <is>
          <t>Monitor</t>
        </is>
      </c>
      <c r="F219" t="inlineStr">
        <is>
          <t>Electronics</t>
        </is>
      </c>
      <c r="G219" t="n">
        <v>1</v>
      </c>
      <c r="H219" s="9" t="n">
        <v>12077.12</v>
      </c>
      <c r="I219" s="12" t="n">
        <v>0</v>
      </c>
      <c r="J219" s="9" t="n">
        <v>12077.12</v>
      </c>
      <c r="K219" t="inlineStr">
        <is>
          <t>Retail</t>
        </is>
      </c>
    </row>
    <row r="220">
      <c r="A220" t="inlineStr">
        <is>
          <t>ORD0106</t>
        </is>
      </c>
      <c r="B220" s="11" t="n">
        <v>45919</v>
      </c>
      <c r="C220" t="inlineStr">
        <is>
          <t>Nagpur</t>
        </is>
      </c>
      <c r="D220" t="inlineStr">
        <is>
          <t>East</t>
        </is>
      </c>
      <c r="E220" t="inlineStr">
        <is>
          <t>Keyboard</t>
        </is>
      </c>
      <c r="F220" t="inlineStr">
        <is>
          <t>Accessories</t>
        </is>
      </c>
      <c r="G220" t="n">
        <v>7</v>
      </c>
      <c r="H220" s="9" t="n">
        <v>1238.52</v>
      </c>
      <c r="I220" s="12" t="n">
        <v>0.05</v>
      </c>
      <c r="J220" s="9" t="n">
        <v>8236.16</v>
      </c>
      <c r="K220" t="inlineStr">
        <is>
          <t>Retail</t>
        </is>
      </c>
    </row>
    <row r="221">
      <c r="A221" t="inlineStr">
        <is>
          <t>ORD0270</t>
        </is>
      </c>
      <c r="B221" s="11" t="n">
        <v>45920</v>
      </c>
      <c r="C221" t="inlineStr">
        <is>
          <t>Chennai</t>
        </is>
      </c>
      <c r="D221" t="inlineStr">
        <is>
          <t>South</t>
        </is>
      </c>
      <c r="E221" t="inlineStr">
        <is>
          <t>Keyboard</t>
        </is>
      </c>
      <c r="F221" t="inlineStr">
        <is>
          <t>Accessories</t>
        </is>
      </c>
      <c r="G221" t="n">
        <v>5</v>
      </c>
      <c r="H221" s="9" t="n">
        <v>1113.79</v>
      </c>
      <c r="I221" s="12" t="n">
        <v>0.15</v>
      </c>
      <c r="J221" s="9" t="n">
        <v>4733.61</v>
      </c>
      <c r="K221" t="inlineStr">
        <is>
          <t>Retail</t>
        </is>
      </c>
    </row>
    <row r="222">
      <c r="A222" t="inlineStr">
        <is>
          <t>ORD0139</t>
        </is>
      </c>
      <c r="B222" s="11" t="n">
        <v>45921</v>
      </c>
      <c r="C222" t="inlineStr">
        <is>
          <t>Bengaluru</t>
        </is>
      </c>
      <c r="D222" t="inlineStr">
        <is>
          <t>South</t>
        </is>
      </c>
      <c r="E222" t="inlineStr">
        <is>
          <t>Mouse</t>
        </is>
      </c>
      <c r="F222" t="inlineStr">
        <is>
          <t>Accessories</t>
        </is>
      </c>
      <c r="G222" t="n">
        <v>7</v>
      </c>
      <c r="H222" s="9" t="n">
        <v>677.9299999999999</v>
      </c>
      <c r="I222" s="12" t="n">
        <v>0.05</v>
      </c>
      <c r="J222" s="9" t="n">
        <v>4508.23</v>
      </c>
      <c r="K222" t="inlineStr">
        <is>
          <t>Retail</t>
        </is>
      </c>
    </row>
    <row r="223">
      <c r="A223" t="inlineStr">
        <is>
          <t>ORD0060</t>
        </is>
      </c>
      <c r="B223" s="11" t="n">
        <v>45925</v>
      </c>
      <c r="C223" t="inlineStr">
        <is>
          <t>Bengaluru</t>
        </is>
      </c>
      <c r="D223" t="inlineStr">
        <is>
          <t>East</t>
        </is>
      </c>
      <c r="E223" t="inlineStr">
        <is>
          <t>Keyboard</t>
        </is>
      </c>
      <c r="F223" t="inlineStr">
        <is>
          <t>Accessories</t>
        </is>
      </c>
      <c r="G223" t="n">
        <v>4</v>
      </c>
      <c r="H223" s="9" t="n">
        <v>1174.22</v>
      </c>
      <c r="I223" s="12" t="n">
        <v>0.15</v>
      </c>
      <c r="J223" s="9" t="n">
        <v>3992.35</v>
      </c>
      <c r="K223" t="inlineStr">
        <is>
          <t>Retail</t>
        </is>
      </c>
    </row>
    <row r="224">
      <c r="A224" t="inlineStr">
        <is>
          <t>ORD0055</t>
        </is>
      </c>
      <c r="B224" s="11" t="n">
        <v>45926</v>
      </c>
      <c r="C224" t="inlineStr">
        <is>
          <t>Bengaluru</t>
        </is>
      </c>
      <c r="D224" t="inlineStr">
        <is>
          <t>East</t>
        </is>
      </c>
      <c r="E224" t="inlineStr">
        <is>
          <t>Desk</t>
        </is>
      </c>
      <c r="F224" t="inlineStr">
        <is>
          <t>Furniture</t>
        </is>
      </c>
      <c r="G224" t="n">
        <v>8</v>
      </c>
      <c r="H224" s="9" t="n">
        <v>9711.75</v>
      </c>
      <c r="I224" s="12" t="n">
        <v>0.15</v>
      </c>
      <c r="J224" s="9" t="n">
        <v>66039.89999999999</v>
      </c>
      <c r="K224" t="inlineStr">
        <is>
          <t>Retail</t>
        </is>
      </c>
    </row>
    <row r="225">
      <c r="A225" t="inlineStr">
        <is>
          <t>ORD0274</t>
        </is>
      </c>
      <c r="B225" s="11" t="n">
        <v>45927</v>
      </c>
      <c r="C225" t="inlineStr">
        <is>
          <t>Mumbai</t>
        </is>
      </c>
      <c r="D225" t="inlineStr">
        <is>
          <t>East</t>
        </is>
      </c>
      <c r="E225" t="inlineStr">
        <is>
          <t>Office Chair</t>
        </is>
      </c>
      <c r="F225" t="inlineStr">
        <is>
          <t>Furniture</t>
        </is>
      </c>
      <c r="G225" t="n">
        <v>2</v>
      </c>
      <c r="H225" s="9" t="n">
        <v>8162.39</v>
      </c>
      <c r="I225" s="12" t="n">
        <v>0.05</v>
      </c>
      <c r="J225" s="9" t="n">
        <v>15508.54</v>
      </c>
      <c r="K225" t="inlineStr">
        <is>
          <t>Online</t>
        </is>
      </c>
    </row>
    <row r="226">
      <c r="A226" t="inlineStr">
        <is>
          <t>ORD0116</t>
        </is>
      </c>
      <c r="B226" s="11" t="n">
        <v>45928</v>
      </c>
      <c r="C226" t="inlineStr">
        <is>
          <t>Nashik</t>
        </is>
      </c>
      <c r="D226" t="inlineStr">
        <is>
          <t>South</t>
        </is>
      </c>
      <c r="E226" t="inlineStr">
        <is>
          <t>Desk</t>
        </is>
      </c>
      <c r="F226" t="inlineStr">
        <is>
          <t>Furniture</t>
        </is>
      </c>
      <c r="G226" t="n">
        <v>2</v>
      </c>
      <c r="H226" s="9" t="n">
        <v>8762.309999999999</v>
      </c>
      <c r="I226" s="12" t="n">
        <v>0.05</v>
      </c>
      <c r="J226" s="9" t="n">
        <v>16648.39</v>
      </c>
      <c r="K226" t="inlineStr">
        <is>
          <t>Online</t>
        </is>
      </c>
    </row>
    <row r="227">
      <c r="A227" t="inlineStr">
        <is>
          <t>ORD0137</t>
        </is>
      </c>
      <c r="B227" s="11" t="n">
        <v>45929</v>
      </c>
      <c r="C227" t="inlineStr">
        <is>
          <t>Nashik</t>
        </is>
      </c>
      <c r="D227" t="inlineStr">
        <is>
          <t>North</t>
        </is>
      </c>
      <c r="E227" t="inlineStr">
        <is>
          <t>Mouse</t>
        </is>
      </c>
      <c r="F227" t="inlineStr">
        <is>
          <t>Accessories</t>
        </is>
      </c>
      <c r="G227" t="n">
        <v>8</v>
      </c>
      <c r="H227" s="9" t="n">
        <v>647.92</v>
      </c>
      <c r="I227" s="12" t="n">
        <v>0.1</v>
      </c>
      <c r="J227" s="9" t="n">
        <v>4665.02</v>
      </c>
      <c r="K227" t="inlineStr">
        <is>
          <t>Online</t>
        </is>
      </c>
    </row>
    <row r="228">
      <c r="A228" t="inlineStr">
        <is>
          <t>ORD0110</t>
        </is>
      </c>
      <c r="B228" s="11" t="n">
        <v>45929</v>
      </c>
      <c r="C228" t="inlineStr">
        <is>
          <t>Nashik</t>
        </is>
      </c>
      <c r="D228" t="inlineStr">
        <is>
          <t>North</t>
        </is>
      </c>
      <c r="E228" t="inlineStr">
        <is>
          <t>Monitor</t>
        </is>
      </c>
      <c r="F228" t="inlineStr">
        <is>
          <t>Electronics</t>
        </is>
      </c>
      <c r="G228" t="n">
        <v>7</v>
      </c>
      <c r="H228" s="9" t="n">
        <v>11863.09</v>
      </c>
      <c r="I228" s="12" t="n">
        <v>0</v>
      </c>
      <c r="J228" s="9" t="n">
        <v>83041.63</v>
      </c>
      <c r="K228" t="inlineStr">
        <is>
          <t>Retail</t>
        </is>
      </c>
    </row>
    <row r="229">
      <c r="A229" t="inlineStr">
        <is>
          <t>ORD0269</t>
        </is>
      </c>
      <c r="B229" s="11" t="n">
        <v>45930</v>
      </c>
      <c r="C229" t="inlineStr">
        <is>
          <t>Pune</t>
        </is>
      </c>
      <c r="D229" t="inlineStr">
        <is>
          <t>North</t>
        </is>
      </c>
      <c r="E229" t="inlineStr">
        <is>
          <t>Mouse</t>
        </is>
      </c>
      <c r="F229" t="inlineStr">
        <is>
          <t>Accessories</t>
        </is>
      </c>
      <c r="G229" t="n">
        <v>6</v>
      </c>
      <c r="H229" s="9" t="n">
        <v>632</v>
      </c>
      <c r="I229" s="12" t="n">
        <v>0</v>
      </c>
      <c r="J229" s="9" t="n">
        <v>3792</v>
      </c>
      <c r="K229" t="inlineStr">
        <is>
          <t>Distributor</t>
        </is>
      </c>
    </row>
    <row r="230">
      <c r="A230" t="inlineStr">
        <is>
          <t>ORD0194</t>
        </is>
      </c>
      <c r="B230" s="11" t="n">
        <v>45935</v>
      </c>
      <c r="C230" t="inlineStr">
        <is>
          <t>Mumbai</t>
        </is>
      </c>
      <c r="D230" t="inlineStr">
        <is>
          <t>East</t>
        </is>
      </c>
      <c r="E230" t="inlineStr">
        <is>
          <t>Pen Pack</t>
        </is>
      </c>
      <c r="F230" t="inlineStr">
        <is>
          <t>Stationery</t>
        </is>
      </c>
      <c r="G230" t="n">
        <v>2</v>
      </c>
      <c r="H230" s="9" t="n">
        <v>155.8</v>
      </c>
      <c r="I230" s="12" t="n">
        <v>0</v>
      </c>
      <c r="J230" s="9" t="n">
        <v>311.6</v>
      </c>
      <c r="K230" t="inlineStr">
        <is>
          <t>Retail</t>
        </is>
      </c>
    </row>
    <row r="231">
      <c r="A231" t="inlineStr">
        <is>
          <t>ORD0009</t>
        </is>
      </c>
      <c r="B231" s="11" t="n">
        <v>45935</v>
      </c>
      <c r="C231" t="inlineStr">
        <is>
          <t>Chennai</t>
        </is>
      </c>
      <c r="D231" t="inlineStr">
        <is>
          <t>East</t>
        </is>
      </c>
      <c r="E231" t="inlineStr">
        <is>
          <t>Keyboard</t>
        </is>
      </c>
      <c r="F231" t="inlineStr">
        <is>
          <t>Accessories</t>
        </is>
      </c>
      <c r="G231" t="n">
        <v>1</v>
      </c>
      <c r="H231" s="9" t="n">
        <v>1151.02</v>
      </c>
      <c r="I231" s="12" t="n">
        <v>0</v>
      </c>
      <c r="J231" s="9" t="n">
        <v>1151.02</v>
      </c>
      <c r="K231" t="inlineStr">
        <is>
          <t>Retail</t>
        </is>
      </c>
    </row>
    <row r="232">
      <c r="A232" t="inlineStr">
        <is>
          <t>ORD0004</t>
        </is>
      </c>
      <c r="B232" s="11" t="n">
        <v>45935</v>
      </c>
      <c r="C232" t="inlineStr">
        <is>
          <t>Mumbai</t>
        </is>
      </c>
      <c r="D232" t="inlineStr">
        <is>
          <t>East</t>
        </is>
      </c>
      <c r="E232" t="inlineStr">
        <is>
          <t>Pen Pack</t>
        </is>
      </c>
      <c r="F232" t="inlineStr">
        <is>
          <t>Stationery</t>
        </is>
      </c>
      <c r="G232" t="n">
        <v>7</v>
      </c>
      <c r="H232" s="9" t="n">
        <v>158.79</v>
      </c>
      <c r="I232" s="12" t="n">
        <v>0</v>
      </c>
      <c r="J232" s="9" t="n">
        <v>1111.53</v>
      </c>
      <c r="K232" t="inlineStr">
        <is>
          <t>Online</t>
        </is>
      </c>
    </row>
    <row r="233">
      <c r="A233" t="inlineStr">
        <is>
          <t>ORD0051</t>
        </is>
      </c>
      <c r="B233" s="11" t="n">
        <v>45938</v>
      </c>
      <c r="C233" t="inlineStr">
        <is>
          <t>Chennai</t>
        </is>
      </c>
      <c r="D233" t="inlineStr">
        <is>
          <t>North</t>
        </is>
      </c>
      <c r="E233" t="inlineStr">
        <is>
          <t>Laptop</t>
        </is>
      </c>
      <c r="F233" t="inlineStr">
        <is>
          <t>Electronics</t>
        </is>
      </c>
      <c r="G233" t="n">
        <v>8</v>
      </c>
      <c r="H233" s="9" t="n">
        <v>49162.17</v>
      </c>
      <c r="I233" s="12" t="n">
        <v>0.1</v>
      </c>
      <c r="J233" s="9" t="n">
        <v>353967.62</v>
      </c>
      <c r="K233" t="inlineStr">
        <is>
          <t>Retail</t>
        </is>
      </c>
    </row>
    <row r="234">
      <c r="A234" t="inlineStr">
        <is>
          <t>ORD0024</t>
        </is>
      </c>
      <c r="B234" s="11" t="n">
        <v>45941</v>
      </c>
      <c r="C234" t="inlineStr">
        <is>
          <t>Bengaluru</t>
        </is>
      </c>
      <c r="D234" t="inlineStr">
        <is>
          <t>West</t>
        </is>
      </c>
      <c r="E234" t="inlineStr">
        <is>
          <t>Headphones</t>
        </is>
      </c>
      <c r="F234" t="inlineStr">
        <is>
          <t>Electronics</t>
        </is>
      </c>
      <c r="G234" t="n">
        <v>2</v>
      </c>
      <c r="H234" s="9" t="n">
        <v>1907.67</v>
      </c>
      <c r="I234" s="12" t="n">
        <v>0.15</v>
      </c>
      <c r="J234" s="9" t="n">
        <v>3243.04</v>
      </c>
      <c r="K234" t="inlineStr">
        <is>
          <t>Distributor</t>
        </is>
      </c>
    </row>
    <row r="235">
      <c r="A235" t="inlineStr">
        <is>
          <t>ORD0079</t>
        </is>
      </c>
      <c r="B235" s="11" t="n">
        <v>45944</v>
      </c>
      <c r="C235" t="inlineStr">
        <is>
          <t>Nashik</t>
        </is>
      </c>
      <c r="D235" t="inlineStr">
        <is>
          <t>West</t>
        </is>
      </c>
      <c r="E235" t="inlineStr">
        <is>
          <t>Notebook</t>
        </is>
      </c>
      <c r="F235" t="inlineStr">
        <is>
          <t>Stationery</t>
        </is>
      </c>
      <c r="G235" t="n">
        <v>6</v>
      </c>
      <c r="H235" s="9" t="n">
        <v>87.95999999999999</v>
      </c>
      <c r="I235" s="12" t="n">
        <v>0.15</v>
      </c>
      <c r="J235" s="9" t="n">
        <v>448.6</v>
      </c>
      <c r="K235" t="inlineStr">
        <is>
          <t>Distributor</t>
        </is>
      </c>
    </row>
    <row r="236">
      <c r="A236" t="inlineStr">
        <is>
          <t>ORD0132</t>
        </is>
      </c>
      <c r="B236" s="11" t="n">
        <v>45945</v>
      </c>
      <c r="C236" t="inlineStr">
        <is>
          <t>Nashik</t>
        </is>
      </c>
      <c r="D236" t="inlineStr">
        <is>
          <t>West</t>
        </is>
      </c>
      <c r="E236" t="inlineStr">
        <is>
          <t>Mouse</t>
        </is>
      </c>
      <c r="F236" t="inlineStr">
        <is>
          <t>Accessories</t>
        </is>
      </c>
      <c r="G236" t="n">
        <v>5</v>
      </c>
      <c r="H236" s="9" t="n">
        <v>630.77</v>
      </c>
      <c r="I236" s="12" t="n">
        <v>0.15</v>
      </c>
      <c r="J236" s="9" t="n">
        <v>2680.77</v>
      </c>
      <c r="K236" t="inlineStr">
        <is>
          <t>Distributor</t>
        </is>
      </c>
    </row>
    <row r="237">
      <c r="A237" t="inlineStr">
        <is>
          <t>ORD0102</t>
        </is>
      </c>
      <c r="B237" s="11" t="n">
        <v>45946</v>
      </c>
      <c r="C237" t="inlineStr">
        <is>
          <t>Pune</t>
        </is>
      </c>
      <c r="D237" t="inlineStr">
        <is>
          <t>East</t>
        </is>
      </c>
      <c r="E237" t="inlineStr">
        <is>
          <t>Headphones</t>
        </is>
      </c>
      <c r="F237" t="inlineStr">
        <is>
          <t>Electronics</t>
        </is>
      </c>
      <c r="G237" t="n">
        <v>2</v>
      </c>
      <c r="H237" s="9" t="n">
        <v>1914.22</v>
      </c>
      <c r="I237" s="12" t="n">
        <v>0</v>
      </c>
      <c r="J237" s="9" t="n">
        <v>3828.44</v>
      </c>
      <c r="K237" t="inlineStr">
        <is>
          <t>Distributor</t>
        </is>
      </c>
    </row>
    <row r="238">
      <c r="A238" t="inlineStr">
        <is>
          <t>ORD0271</t>
        </is>
      </c>
      <c r="B238" s="11" t="n">
        <v>45950</v>
      </c>
      <c r="C238" t="inlineStr">
        <is>
          <t>Pune</t>
        </is>
      </c>
      <c r="D238" t="inlineStr">
        <is>
          <t>North</t>
        </is>
      </c>
      <c r="E238" t="inlineStr">
        <is>
          <t>USB Drive</t>
        </is>
      </c>
      <c r="F238" t="inlineStr">
        <is>
          <t>Accessories</t>
        </is>
      </c>
      <c r="G238" t="n">
        <v>6</v>
      </c>
      <c r="H238" s="9" t="n">
        <v>537.8200000000001</v>
      </c>
      <c r="I238" s="12" t="n">
        <v>0.05</v>
      </c>
      <c r="J238" s="9" t="n">
        <v>3065.57</v>
      </c>
      <c r="K238" t="inlineStr">
        <is>
          <t>Online</t>
        </is>
      </c>
    </row>
    <row r="239">
      <c r="A239" t="inlineStr">
        <is>
          <t>ORD0251</t>
        </is>
      </c>
      <c r="B239" s="11" t="n">
        <v>45950</v>
      </c>
      <c r="C239" t="inlineStr">
        <is>
          <t>Pune</t>
        </is>
      </c>
      <c r="D239" t="inlineStr">
        <is>
          <t>North</t>
        </is>
      </c>
      <c r="E239" t="inlineStr">
        <is>
          <t>USB Drive</t>
        </is>
      </c>
      <c r="F239" t="inlineStr">
        <is>
          <t>Accessories</t>
        </is>
      </c>
      <c r="G239" t="n">
        <v>3</v>
      </c>
      <c r="H239" s="9" t="n">
        <v>554.89</v>
      </c>
      <c r="I239" s="12" t="n">
        <v>0.05</v>
      </c>
      <c r="J239" s="9" t="n">
        <v>1581.44</v>
      </c>
      <c r="K239" t="inlineStr">
        <is>
          <t>Retail</t>
        </is>
      </c>
    </row>
    <row r="240">
      <c r="A240" t="inlineStr">
        <is>
          <t>ORD0048</t>
        </is>
      </c>
      <c r="B240" s="11" t="n">
        <v>45951</v>
      </c>
      <c r="C240" t="inlineStr">
        <is>
          <t>Bengaluru</t>
        </is>
      </c>
      <c r="D240" t="inlineStr">
        <is>
          <t>North</t>
        </is>
      </c>
      <c r="E240" t="inlineStr">
        <is>
          <t>Desk</t>
        </is>
      </c>
      <c r="F240" t="inlineStr">
        <is>
          <t>Furniture</t>
        </is>
      </c>
      <c r="G240" t="n">
        <v>2</v>
      </c>
      <c r="H240" s="9" t="n">
        <v>9473.879999999999</v>
      </c>
      <c r="I240" s="12" t="n">
        <v>0.15</v>
      </c>
      <c r="J240" s="9" t="n">
        <v>16105.6</v>
      </c>
      <c r="K240" t="inlineStr">
        <is>
          <t>Online</t>
        </is>
      </c>
    </row>
    <row r="241">
      <c r="A241" t="inlineStr">
        <is>
          <t>ORD0031</t>
        </is>
      </c>
      <c r="B241" s="11" t="n">
        <v>45953</v>
      </c>
      <c r="C241" t="inlineStr">
        <is>
          <t>Bengaluru</t>
        </is>
      </c>
      <c r="D241" t="inlineStr">
        <is>
          <t>East</t>
        </is>
      </c>
      <c r="E241" t="inlineStr">
        <is>
          <t>Mouse</t>
        </is>
      </c>
      <c r="F241" t="inlineStr">
        <is>
          <t>Accessories</t>
        </is>
      </c>
      <c r="G241" t="n">
        <v>5</v>
      </c>
      <c r="H241" s="9" t="n">
        <v>655.9</v>
      </c>
      <c r="I241" s="12" t="n">
        <v>0</v>
      </c>
      <c r="J241" s="9" t="n">
        <v>3279.5</v>
      </c>
      <c r="K241" t="inlineStr">
        <is>
          <t>Distributor</t>
        </is>
      </c>
    </row>
    <row r="242">
      <c r="A242" t="inlineStr">
        <is>
          <t>ORD0193</t>
        </is>
      </c>
      <c r="B242" s="11" t="n">
        <v>45954</v>
      </c>
      <c r="C242" t="inlineStr">
        <is>
          <t>Pune</t>
        </is>
      </c>
      <c r="D242" t="inlineStr">
        <is>
          <t>North</t>
        </is>
      </c>
      <c r="E242" t="inlineStr">
        <is>
          <t>Pen Pack</t>
        </is>
      </c>
      <c r="F242" t="inlineStr">
        <is>
          <t>Stationery</t>
        </is>
      </c>
      <c r="G242" t="n">
        <v>8</v>
      </c>
      <c r="H242" s="9" t="n">
        <v>140.88</v>
      </c>
      <c r="I242" s="12" t="n">
        <v>0</v>
      </c>
      <c r="J242" s="9" t="n">
        <v>1127.04</v>
      </c>
      <c r="K242" t="inlineStr">
        <is>
          <t>Online</t>
        </is>
      </c>
    </row>
    <row r="243">
      <c r="A243" t="inlineStr">
        <is>
          <t>ORD0029</t>
        </is>
      </c>
      <c r="B243" s="11" t="n">
        <v>45956</v>
      </c>
      <c r="C243" t="inlineStr">
        <is>
          <t>Mumbai</t>
        </is>
      </c>
      <c r="D243" t="inlineStr">
        <is>
          <t>East</t>
        </is>
      </c>
      <c r="E243" t="inlineStr">
        <is>
          <t>Pen Pack</t>
        </is>
      </c>
      <c r="F243" t="inlineStr">
        <is>
          <t>Stationery</t>
        </is>
      </c>
      <c r="G243" t="n">
        <v>2</v>
      </c>
      <c r="H243" s="9" t="n">
        <v>161.28</v>
      </c>
      <c r="I243" s="12" t="n">
        <v>0.15</v>
      </c>
      <c r="J243" s="9" t="n">
        <v>274.18</v>
      </c>
      <c r="K243" t="inlineStr">
        <is>
          <t>Online</t>
        </is>
      </c>
    </row>
    <row r="244">
      <c r="A244" t="inlineStr">
        <is>
          <t>ORD0298</t>
        </is>
      </c>
      <c r="B244" s="11" t="n">
        <v>45956</v>
      </c>
      <c r="C244" t="inlineStr">
        <is>
          <t>Pune</t>
        </is>
      </c>
      <c r="D244" t="inlineStr">
        <is>
          <t>South</t>
        </is>
      </c>
      <c r="E244" t="inlineStr">
        <is>
          <t>Desk</t>
        </is>
      </c>
      <c r="F244" t="inlineStr">
        <is>
          <t>Furniture</t>
        </is>
      </c>
      <c r="G244" t="n">
        <v>7</v>
      </c>
      <c r="H244" s="9" t="n">
        <v>8814.57</v>
      </c>
      <c r="I244" s="12" t="n">
        <v>0.1</v>
      </c>
      <c r="J244" s="9" t="n">
        <v>55531.79</v>
      </c>
      <c r="K244" t="inlineStr">
        <is>
          <t>Online</t>
        </is>
      </c>
    </row>
    <row r="245">
      <c r="A245" t="inlineStr">
        <is>
          <t>ORD0133</t>
        </is>
      </c>
      <c r="B245" s="11" t="n">
        <v>45960</v>
      </c>
      <c r="C245" t="inlineStr">
        <is>
          <t>Chennai</t>
        </is>
      </c>
      <c r="D245" t="inlineStr">
        <is>
          <t>West</t>
        </is>
      </c>
      <c r="E245" t="inlineStr">
        <is>
          <t>Laptop</t>
        </is>
      </c>
      <c r="F245" t="inlineStr">
        <is>
          <t>Electronics</t>
        </is>
      </c>
      <c r="G245" t="n">
        <v>8</v>
      </c>
      <c r="H245" s="9" t="n">
        <v>51980.62</v>
      </c>
      <c r="I245" s="12" t="n">
        <v>0</v>
      </c>
      <c r="J245" s="9" t="n">
        <v>415844.96</v>
      </c>
      <c r="K245" t="inlineStr">
        <is>
          <t>Online</t>
        </is>
      </c>
    </row>
    <row r="246">
      <c r="A246" t="inlineStr">
        <is>
          <t>ORD0101</t>
        </is>
      </c>
      <c r="B246" s="11" t="n">
        <v>45964</v>
      </c>
      <c r="C246" t="inlineStr">
        <is>
          <t>Thane</t>
        </is>
      </c>
      <c r="D246" t="inlineStr">
        <is>
          <t>South</t>
        </is>
      </c>
      <c r="E246" t="inlineStr">
        <is>
          <t>Keyboard</t>
        </is>
      </c>
      <c r="F246" t="inlineStr">
        <is>
          <t>Accessories</t>
        </is>
      </c>
      <c r="G246" t="n">
        <v>7</v>
      </c>
      <c r="H246" s="9" t="n">
        <v>1184.02</v>
      </c>
      <c r="I246" s="12" t="n">
        <v>0</v>
      </c>
      <c r="J246" s="9" t="n">
        <v>8288.139999999999</v>
      </c>
      <c r="K246" t="inlineStr">
        <is>
          <t>Distributor</t>
        </is>
      </c>
    </row>
    <row r="247">
      <c r="A247" t="inlineStr">
        <is>
          <t>ORD0088</t>
        </is>
      </c>
      <c r="B247" s="11" t="n">
        <v>45965</v>
      </c>
      <c r="C247" t="inlineStr">
        <is>
          <t>Thane</t>
        </is>
      </c>
      <c r="D247" t="inlineStr">
        <is>
          <t>South</t>
        </is>
      </c>
      <c r="E247" t="inlineStr">
        <is>
          <t>Keyboard</t>
        </is>
      </c>
      <c r="F247" t="inlineStr">
        <is>
          <t>Accessories</t>
        </is>
      </c>
      <c r="G247" t="n">
        <v>5</v>
      </c>
      <c r="H247" s="9" t="n">
        <v>1158.45</v>
      </c>
      <c r="I247" s="12" t="n">
        <v>0.05</v>
      </c>
      <c r="J247" s="9" t="n">
        <v>5502.64</v>
      </c>
      <c r="K247" t="inlineStr">
        <is>
          <t>Retail</t>
        </is>
      </c>
    </row>
    <row r="248">
      <c r="A248" t="inlineStr">
        <is>
          <t>ORD0221</t>
        </is>
      </c>
      <c r="B248" s="11" t="n">
        <v>45967</v>
      </c>
      <c r="C248" t="inlineStr">
        <is>
          <t>Nashik</t>
        </is>
      </c>
      <c r="D248" t="inlineStr">
        <is>
          <t>East</t>
        </is>
      </c>
      <c r="E248" t="inlineStr">
        <is>
          <t>Office Chair</t>
        </is>
      </c>
      <c r="F248" t="inlineStr">
        <is>
          <t>Furniture</t>
        </is>
      </c>
      <c r="G248" t="n">
        <v>4</v>
      </c>
      <c r="H248" s="9" t="n">
        <v>7584.04</v>
      </c>
      <c r="I248" s="12" t="n">
        <v>0</v>
      </c>
      <c r="J248" s="9" t="n">
        <v>30336.16</v>
      </c>
      <c r="K248" t="inlineStr">
        <is>
          <t>Retail</t>
        </is>
      </c>
    </row>
    <row r="249">
      <c r="A249" t="inlineStr">
        <is>
          <t>ORD0090</t>
        </is>
      </c>
      <c r="B249" s="11" t="n">
        <v>45968</v>
      </c>
      <c r="C249" t="inlineStr">
        <is>
          <t>Delhi</t>
        </is>
      </c>
      <c r="D249" t="inlineStr">
        <is>
          <t>West</t>
        </is>
      </c>
      <c r="E249" t="inlineStr">
        <is>
          <t>Notebook</t>
        </is>
      </c>
      <c r="F249" t="inlineStr">
        <is>
          <t>Stationery</t>
        </is>
      </c>
      <c r="G249" t="n">
        <v>4</v>
      </c>
      <c r="H249" s="9" t="n">
        <v>89.11</v>
      </c>
      <c r="I249" s="12" t="n">
        <v>0</v>
      </c>
      <c r="J249" s="9" t="n">
        <v>356.44</v>
      </c>
      <c r="K249" t="inlineStr">
        <is>
          <t>Retail</t>
        </is>
      </c>
    </row>
    <row r="250">
      <c r="A250" t="inlineStr">
        <is>
          <t>ORD0147</t>
        </is>
      </c>
      <c r="B250" s="11" t="n">
        <v>45969</v>
      </c>
      <c r="C250" t="inlineStr">
        <is>
          <t>Pune</t>
        </is>
      </c>
      <c r="D250" t="inlineStr">
        <is>
          <t>North</t>
        </is>
      </c>
      <c r="E250" t="inlineStr">
        <is>
          <t>Notebook</t>
        </is>
      </c>
      <c r="F250" t="inlineStr">
        <is>
          <t>Stationery</t>
        </is>
      </c>
      <c r="G250" t="n">
        <v>7</v>
      </c>
      <c r="H250" s="9" t="n">
        <v>85.38</v>
      </c>
      <c r="I250" s="12" t="n">
        <v>0</v>
      </c>
      <c r="J250" s="9" t="n">
        <v>597.66</v>
      </c>
      <c r="K250" t="inlineStr">
        <is>
          <t>Distributor</t>
        </is>
      </c>
    </row>
    <row r="251">
      <c r="A251" t="inlineStr">
        <is>
          <t>ORD0220</t>
        </is>
      </c>
      <c r="B251" s="11" t="n">
        <v>45969</v>
      </c>
      <c r="C251" t="inlineStr">
        <is>
          <t>Thane</t>
        </is>
      </c>
      <c r="D251" t="inlineStr">
        <is>
          <t>North</t>
        </is>
      </c>
      <c r="E251" t="inlineStr">
        <is>
          <t>Office Chair</t>
        </is>
      </c>
      <c r="F251" t="inlineStr">
        <is>
          <t>Furniture</t>
        </is>
      </c>
      <c r="G251" t="n">
        <v>4</v>
      </c>
      <c r="H251" s="9" t="n">
        <v>7929.14</v>
      </c>
      <c r="I251" s="12" t="n">
        <v>0.1</v>
      </c>
      <c r="J251" s="9" t="n">
        <v>28544.9</v>
      </c>
      <c r="K251" t="inlineStr">
        <is>
          <t>Retail</t>
        </is>
      </c>
    </row>
    <row r="252">
      <c r="A252" t="inlineStr">
        <is>
          <t>ORD0039</t>
        </is>
      </c>
      <c r="B252" s="11" t="n">
        <v>45969</v>
      </c>
      <c r="C252" t="inlineStr">
        <is>
          <t>Mumbai</t>
        </is>
      </c>
      <c r="D252" t="inlineStr">
        <is>
          <t>South</t>
        </is>
      </c>
      <c r="E252" t="inlineStr">
        <is>
          <t>Laptop</t>
        </is>
      </c>
      <c r="F252" t="inlineStr">
        <is>
          <t>Electronics</t>
        </is>
      </c>
      <c r="G252" t="n">
        <v>1</v>
      </c>
      <c r="H252" s="9" t="n">
        <v>50858.75</v>
      </c>
      <c r="I252" s="12" t="n">
        <v>0</v>
      </c>
      <c r="J252" s="9" t="n">
        <v>50858.75</v>
      </c>
      <c r="K252" t="inlineStr">
        <is>
          <t>Retail</t>
        </is>
      </c>
    </row>
    <row r="253">
      <c r="A253" t="inlineStr">
        <is>
          <t>ORD0104</t>
        </is>
      </c>
      <c r="B253" s="11" t="n">
        <v>45970</v>
      </c>
      <c r="C253" t="inlineStr">
        <is>
          <t>Nagpur</t>
        </is>
      </c>
      <c r="D253" t="inlineStr">
        <is>
          <t>West</t>
        </is>
      </c>
      <c r="E253" t="inlineStr">
        <is>
          <t>Headphones</t>
        </is>
      </c>
      <c r="F253" t="inlineStr">
        <is>
          <t>Electronics</t>
        </is>
      </c>
      <c r="G253" t="n">
        <v>6</v>
      </c>
      <c r="H253" s="9" t="n">
        <v>1940.71</v>
      </c>
      <c r="I253" s="12" t="n">
        <v>0</v>
      </c>
      <c r="J253" s="9" t="n">
        <v>11644.26</v>
      </c>
      <c r="K253" t="inlineStr">
        <is>
          <t>Online</t>
        </is>
      </c>
    </row>
    <row r="254">
      <c r="A254" t="inlineStr">
        <is>
          <t>ORD0187</t>
        </is>
      </c>
      <c r="B254" s="11" t="n">
        <v>45970</v>
      </c>
      <c r="C254" t="inlineStr">
        <is>
          <t>Nashik</t>
        </is>
      </c>
      <c r="D254" t="inlineStr">
        <is>
          <t>East</t>
        </is>
      </c>
      <c r="E254" t="inlineStr">
        <is>
          <t>USB Drive</t>
        </is>
      </c>
      <c r="F254" t="inlineStr">
        <is>
          <t>Accessories</t>
        </is>
      </c>
      <c r="G254" t="n">
        <v>4</v>
      </c>
      <c r="H254" s="9" t="n">
        <v>549.38</v>
      </c>
      <c r="I254" s="12" t="n">
        <v>0</v>
      </c>
      <c r="J254" s="9" t="n">
        <v>2197.52</v>
      </c>
      <c r="K254" t="inlineStr">
        <is>
          <t>Distributor</t>
        </is>
      </c>
    </row>
    <row r="255">
      <c r="A255" t="inlineStr">
        <is>
          <t>ORD0244</t>
        </is>
      </c>
      <c r="B255" s="11" t="n">
        <v>45970</v>
      </c>
      <c r="C255" t="inlineStr">
        <is>
          <t>Chennai</t>
        </is>
      </c>
      <c r="D255" t="inlineStr">
        <is>
          <t>North</t>
        </is>
      </c>
      <c r="E255" t="inlineStr">
        <is>
          <t>Mouse</t>
        </is>
      </c>
      <c r="F255" t="inlineStr">
        <is>
          <t>Accessories</t>
        </is>
      </c>
      <c r="G255" t="n">
        <v>2</v>
      </c>
      <c r="H255" s="9" t="n">
        <v>656.41</v>
      </c>
      <c r="I255" s="12" t="n">
        <v>0.1</v>
      </c>
      <c r="J255" s="9" t="n">
        <v>1181.54</v>
      </c>
      <c r="K255" t="inlineStr">
        <is>
          <t>Distributor</t>
        </is>
      </c>
    </row>
    <row r="256">
      <c r="A256" t="inlineStr">
        <is>
          <t>ORD0204</t>
        </is>
      </c>
      <c r="B256" s="11" t="n">
        <v>45971</v>
      </c>
      <c r="C256" t="inlineStr">
        <is>
          <t>Nagpur</t>
        </is>
      </c>
      <c r="D256" t="inlineStr">
        <is>
          <t>North</t>
        </is>
      </c>
      <c r="E256" t="inlineStr">
        <is>
          <t>Keyboard</t>
        </is>
      </c>
      <c r="F256" t="inlineStr">
        <is>
          <t>Accessories</t>
        </is>
      </c>
      <c r="G256" t="n">
        <v>2</v>
      </c>
      <c r="H256" s="9" t="n">
        <v>1149.53</v>
      </c>
      <c r="I256" s="12" t="n">
        <v>0</v>
      </c>
      <c r="J256" s="9" t="n">
        <v>2299.06</v>
      </c>
      <c r="K256" t="inlineStr">
        <is>
          <t>Online</t>
        </is>
      </c>
    </row>
    <row r="257">
      <c r="A257" t="inlineStr">
        <is>
          <t>ORD0255</t>
        </is>
      </c>
      <c r="B257" s="11" t="n">
        <v>45972</v>
      </c>
      <c r="C257" t="inlineStr">
        <is>
          <t>Nagpur</t>
        </is>
      </c>
      <c r="D257" t="inlineStr">
        <is>
          <t>East</t>
        </is>
      </c>
      <c r="E257" t="inlineStr">
        <is>
          <t>Mouse</t>
        </is>
      </c>
      <c r="F257" t="inlineStr">
        <is>
          <t>Accessories</t>
        </is>
      </c>
      <c r="G257" t="n">
        <v>2</v>
      </c>
      <c r="H257" s="9" t="n">
        <v>609.87</v>
      </c>
      <c r="I257" s="12" t="n">
        <v>0</v>
      </c>
      <c r="J257" s="9" t="n">
        <v>1219.74</v>
      </c>
      <c r="K257" t="inlineStr">
        <is>
          <t>Retail</t>
        </is>
      </c>
    </row>
    <row r="258">
      <c r="A258" t="inlineStr">
        <is>
          <t>ORD0124</t>
        </is>
      </c>
      <c r="B258" s="11" t="n">
        <v>45973</v>
      </c>
      <c r="C258" t="inlineStr">
        <is>
          <t>Bengaluru</t>
        </is>
      </c>
      <c r="D258" t="inlineStr">
        <is>
          <t>West</t>
        </is>
      </c>
      <c r="E258" t="inlineStr">
        <is>
          <t>Monitor</t>
        </is>
      </c>
      <c r="F258" t="inlineStr">
        <is>
          <t>Electronics</t>
        </is>
      </c>
      <c r="G258" t="n">
        <v>7</v>
      </c>
      <c r="H258" s="9" t="n">
        <v>13124.6</v>
      </c>
      <c r="I258" s="12" t="n">
        <v>0.05</v>
      </c>
      <c r="J258" s="9" t="n">
        <v>87278.59</v>
      </c>
      <c r="K258" t="inlineStr">
        <is>
          <t>Distributor</t>
        </is>
      </c>
    </row>
    <row r="259">
      <c r="A259" t="inlineStr">
        <is>
          <t>ORD0164</t>
        </is>
      </c>
      <c r="B259" s="11" t="n">
        <v>45976</v>
      </c>
      <c r="C259" t="inlineStr">
        <is>
          <t>Pune</t>
        </is>
      </c>
      <c r="D259" t="inlineStr">
        <is>
          <t>South</t>
        </is>
      </c>
      <c r="E259" t="inlineStr">
        <is>
          <t>USB Drive</t>
        </is>
      </c>
      <c r="F259" t="inlineStr">
        <is>
          <t>Accessories</t>
        </is>
      </c>
      <c r="G259" t="n">
        <v>3</v>
      </c>
      <c r="H259" s="9" t="n">
        <v>513.65</v>
      </c>
      <c r="I259" s="12" t="n">
        <v>0</v>
      </c>
      <c r="J259" s="9" t="n">
        <v>1540.95</v>
      </c>
      <c r="K259" t="inlineStr">
        <is>
          <t>Retail</t>
        </is>
      </c>
    </row>
    <row r="260">
      <c r="A260" t="inlineStr">
        <is>
          <t>ORD0202</t>
        </is>
      </c>
      <c r="B260" s="11" t="n">
        <v>45977</v>
      </c>
      <c r="C260" t="inlineStr">
        <is>
          <t>Pune</t>
        </is>
      </c>
      <c r="D260" t="inlineStr">
        <is>
          <t>East</t>
        </is>
      </c>
      <c r="E260" t="inlineStr">
        <is>
          <t>Pen Pack</t>
        </is>
      </c>
      <c r="F260" t="inlineStr">
        <is>
          <t>Stationery</t>
        </is>
      </c>
      <c r="G260" t="n">
        <v>3</v>
      </c>
      <c r="H260" s="9" t="n">
        <v>161.61</v>
      </c>
      <c r="I260" s="12" t="n">
        <v>0.15</v>
      </c>
      <c r="J260" s="9" t="n">
        <v>412.11</v>
      </c>
      <c r="K260" t="inlineStr">
        <is>
          <t>Retail</t>
        </is>
      </c>
    </row>
    <row r="261">
      <c r="A261" t="inlineStr">
        <is>
          <t>ORD0118</t>
        </is>
      </c>
      <c r="B261" s="11" t="n">
        <v>45978</v>
      </c>
      <c r="C261" t="inlineStr">
        <is>
          <t>Thane</t>
        </is>
      </c>
      <c r="D261" t="inlineStr">
        <is>
          <t>North</t>
        </is>
      </c>
      <c r="E261" t="inlineStr">
        <is>
          <t>Keyboard</t>
        </is>
      </c>
      <c r="F261" t="inlineStr">
        <is>
          <t>Accessories</t>
        </is>
      </c>
      <c r="G261" t="n">
        <v>1</v>
      </c>
      <c r="H261" s="9" t="n">
        <v>1206.1</v>
      </c>
      <c r="I261" s="12" t="n">
        <v>0</v>
      </c>
      <c r="J261" s="9" t="n">
        <v>1206.1</v>
      </c>
      <c r="K261" t="inlineStr">
        <is>
          <t>Retail</t>
        </is>
      </c>
    </row>
    <row r="262">
      <c r="A262" t="inlineStr">
        <is>
          <t>ORD0240</t>
        </is>
      </c>
      <c r="B262" s="11" t="n">
        <v>45979</v>
      </c>
      <c r="C262" t="inlineStr">
        <is>
          <t>Mumbai</t>
        </is>
      </c>
      <c r="D262" t="inlineStr">
        <is>
          <t>South</t>
        </is>
      </c>
      <c r="E262" t="inlineStr">
        <is>
          <t>USB Drive</t>
        </is>
      </c>
      <c r="F262" t="inlineStr">
        <is>
          <t>Accessories</t>
        </is>
      </c>
      <c r="G262" t="n">
        <v>8</v>
      </c>
      <c r="H262" s="9" t="n">
        <v>556.76</v>
      </c>
      <c r="I262" s="12" t="n">
        <v>0.1</v>
      </c>
      <c r="J262" s="9" t="n">
        <v>4008.67</v>
      </c>
      <c r="K262" t="inlineStr">
        <is>
          <t>Retail</t>
        </is>
      </c>
    </row>
    <row r="263">
      <c r="A263" t="inlineStr">
        <is>
          <t>ORD0229</t>
        </is>
      </c>
      <c r="B263" s="11" t="n">
        <v>45986</v>
      </c>
      <c r="C263" t="inlineStr">
        <is>
          <t>Nashik</t>
        </is>
      </c>
      <c r="D263" t="inlineStr">
        <is>
          <t>West</t>
        </is>
      </c>
      <c r="E263" t="inlineStr">
        <is>
          <t>Mouse</t>
        </is>
      </c>
      <c r="F263" t="inlineStr">
        <is>
          <t>Accessories</t>
        </is>
      </c>
      <c r="G263" t="n">
        <v>6</v>
      </c>
      <c r="H263" s="9" t="n">
        <v>663.8</v>
      </c>
      <c r="I263" s="12" t="n">
        <v>0.05</v>
      </c>
      <c r="J263" s="9" t="n">
        <v>3783.66</v>
      </c>
      <c r="K263" t="inlineStr">
        <is>
          <t>Online</t>
        </is>
      </c>
    </row>
    <row r="264">
      <c r="A264" t="inlineStr">
        <is>
          <t>ORD0076</t>
        </is>
      </c>
      <c r="B264" s="11" t="n">
        <v>45987</v>
      </c>
      <c r="C264" t="inlineStr">
        <is>
          <t>Nashik</t>
        </is>
      </c>
      <c r="D264" t="inlineStr">
        <is>
          <t>South</t>
        </is>
      </c>
      <c r="E264" t="inlineStr">
        <is>
          <t>Laptop</t>
        </is>
      </c>
      <c r="F264" t="inlineStr">
        <is>
          <t>Electronics</t>
        </is>
      </c>
      <c r="G264" t="n">
        <v>8</v>
      </c>
      <c r="H264" s="9" t="n">
        <v>49868.18</v>
      </c>
      <c r="I264" s="12" t="n">
        <v>0.15</v>
      </c>
      <c r="J264" s="9" t="n">
        <v>339103.62</v>
      </c>
      <c r="K264" t="inlineStr">
        <is>
          <t>Retail</t>
        </is>
      </c>
    </row>
    <row r="265">
      <c r="A265" t="inlineStr">
        <is>
          <t>ORD0291</t>
        </is>
      </c>
      <c r="B265" s="11" t="n">
        <v>45987</v>
      </c>
      <c r="C265" t="inlineStr">
        <is>
          <t>Pune</t>
        </is>
      </c>
      <c r="D265" t="inlineStr">
        <is>
          <t>South</t>
        </is>
      </c>
      <c r="E265" t="inlineStr">
        <is>
          <t>Keyboard</t>
        </is>
      </c>
      <c r="F265" t="inlineStr">
        <is>
          <t>Accessories</t>
        </is>
      </c>
      <c r="G265" t="n">
        <v>7</v>
      </c>
      <c r="H265" s="9" t="n">
        <v>1143.87</v>
      </c>
      <c r="I265" s="12" t="n">
        <v>0</v>
      </c>
      <c r="J265" s="9" t="n">
        <v>8007.09</v>
      </c>
      <c r="K265" t="inlineStr">
        <is>
          <t>Distributor</t>
        </is>
      </c>
    </row>
    <row r="266">
      <c r="A266" t="inlineStr">
        <is>
          <t>ORD0250</t>
        </is>
      </c>
      <c r="B266" s="11" t="n">
        <v>45989</v>
      </c>
      <c r="C266" t="inlineStr">
        <is>
          <t>Nagpur</t>
        </is>
      </c>
      <c r="D266" t="inlineStr">
        <is>
          <t>East</t>
        </is>
      </c>
      <c r="E266" t="inlineStr">
        <is>
          <t>Notebook</t>
        </is>
      </c>
      <c r="F266" t="inlineStr">
        <is>
          <t>Stationery</t>
        </is>
      </c>
      <c r="G266" t="n">
        <v>7</v>
      </c>
      <c r="H266" s="9" t="n">
        <v>95.70999999999999</v>
      </c>
      <c r="I266" s="12" t="n">
        <v>0.05</v>
      </c>
      <c r="J266" s="9" t="n">
        <v>636.47</v>
      </c>
      <c r="K266" t="inlineStr">
        <is>
          <t>Distributor</t>
        </is>
      </c>
    </row>
    <row r="267">
      <c r="A267" t="inlineStr">
        <is>
          <t>ORD0072</t>
        </is>
      </c>
      <c r="B267" s="11" t="n">
        <v>45991</v>
      </c>
      <c r="C267" t="inlineStr">
        <is>
          <t>Pune</t>
        </is>
      </c>
      <c r="D267" t="inlineStr">
        <is>
          <t>West</t>
        </is>
      </c>
      <c r="E267" t="inlineStr">
        <is>
          <t>Keyboard</t>
        </is>
      </c>
      <c r="F267" t="inlineStr">
        <is>
          <t>Accessories</t>
        </is>
      </c>
      <c r="G267" t="n">
        <v>7</v>
      </c>
      <c r="H267" s="9" t="n">
        <v>1295.26</v>
      </c>
      <c r="I267" s="12" t="n">
        <v>0.1</v>
      </c>
      <c r="J267" s="9" t="n">
        <v>8160.14</v>
      </c>
      <c r="K267" t="inlineStr">
        <is>
          <t>Distributor</t>
        </is>
      </c>
    </row>
    <row r="268">
      <c r="A268" t="inlineStr">
        <is>
          <t>ORD0295</t>
        </is>
      </c>
      <c r="B268" s="11" t="n">
        <v>45992</v>
      </c>
      <c r="C268" t="inlineStr">
        <is>
          <t>Nashik</t>
        </is>
      </c>
      <c r="D268" t="inlineStr">
        <is>
          <t>South</t>
        </is>
      </c>
      <c r="E268" t="inlineStr">
        <is>
          <t>Keyboard</t>
        </is>
      </c>
      <c r="F268" t="inlineStr">
        <is>
          <t>Accessories</t>
        </is>
      </c>
      <c r="G268" t="n">
        <v>3</v>
      </c>
      <c r="H268" s="9" t="n">
        <v>1127.15</v>
      </c>
      <c r="I268" s="12" t="n">
        <v>0.1</v>
      </c>
      <c r="J268" s="9" t="n">
        <v>3043.31</v>
      </c>
      <c r="K268" t="inlineStr">
        <is>
          <t>Distributor</t>
        </is>
      </c>
    </row>
    <row r="269">
      <c r="A269" t="inlineStr">
        <is>
          <t>ORD0219</t>
        </is>
      </c>
      <c r="B269" s="11" t="n">
        <v>45992</v>
      </c>
      <c r="C269" t="inlineStr">
        <is>
          <t>Thane</t>
        </is>
      </c>
      <c r="D269" t="inlineStr">
        <is>
          <t>South</t>
        </is>
      </c>
      <c r="E269" t="inlineStr">
        <is>
          <t>Mouse</t>
        </is>
      </c>
      <c r="F269" t="inlineStr">
        <is>
          <t>Accessories</t>
        </is>
      </c>
      <c r="G269" t="n">
        <v>7</v>
      </c>
      <c r="H269" s="9" t="n">
        <v>687.7</v>
      </c>
      <c r="I269" s="12" t="n">
        <v>0.05</v>
      </c>
      <c r="J269" s="9" t="n">
        <v>4573.2</v>
      </c>
      <c r="K269" t="inlineStr">
        <is>
          <t>Online</t>
        </is>
      </c>
    </row>
    <row r="270">
      <c r="A270" t="inlineStr">
        <is>
          <t>ORD0045</t>
        </is>
      </c>
      <c r="B270" s="11" t="n">
        <v>45994</v>
      </c>
      <c r="C270" t="inlineStr">
        <is>
          <t>Thane</t>
        </is>
      </c>
      <c r="D270" t="inlineStr">
        <is>
          <t>South</t>
        </is>
      </c>
      <c r="E270" t="inlineStr">
        <is>
          <t>USB Drive</t>
        </is>
      </c>
      <c r="F270" t="inlineStr">
        <is>
          <t>Accessories</t>
        </is>
      </c>
      <c r="G270" t="n">
        <v>4</v>
      </c>
      <c r="H270" s="9" t="n">
        <v>585.88</v>
      </c>
      <c r="I270" s="12" t="n">
        <v>0</v>
      </c>
      <c r="J270" s="9" t="n">
        <v>2343.52</v>
      </c>
      <c r="K270" t="inlineStr">
        <is>
          <t>Distributor</t>
        </is>
      </c>
    </row>
    <row r="271">
      <c r="A271" t="inlineStr">
        <is>
          <t>ORD0167</t>
        </is>
      </c>
      <c r="B271" s="11" t="n">
        <v>45995</v>
      </c>
      <c r="C271" t="inlineStr">
        <is>
          <t>Nagpur</t>
        </is>
      </c>
      <c r="D271" t="inlineStr">
        <is>
          <t>South</t>
        </is>
      </c>
      <c r="E271" t="inlineStr">
        <is>
          <t>Office Chair</t>
        </is>
      </c>
      <c r="F271" t="inlineStr">
        <is>
          <t>Furniture</t>
        </is>
      </c>
      <c r="G271" t="n">
        <v>1</v>
      </c>
      <c r="H271" s="9" t="n">
        <v>7322.48</v>
      </c>
      <c r="I271" s="12" t="n">
        <v>0.05</v>
      </c>
      <c r="J271" s="9" t="n">
        <v>6956.36</v>
      </c>
      <c r="K271" t="inlineStr">
        <is>
          <t>Online</t>
        </is>
      </c>
    </row>
    <row r="272">
      <c r="A272" t="inlineStr">
        <is>
          <t>ORD0065</t>
        </is>
      </c>
      <c r="B272" s="11" t="n">
        <v>45995</v>
      </c>
      <c r="C272" t="inlineStr">
        <is>
          <t>Delhi</t>
        </is>
      </c>
      <c r="D272" t="inlineStr">
        <is>
          <t>West</t>
        </is>
      </c>
      <c r="E272" t="inlineStr">
        <is>
          <t>Keyboard</t>
        </is>
      </c>
      <c r="F272" t="inlineStr">
        <is>
          <t>Accessories</t>
        </is>
      </c>
      <c r="G272" t="n">
        <v>2</v>
      </c>
      <c r="H272" s="9" t="n">
        <v>1174.02</v>
      </c>
      <c r="I272" s="12" t="n">
        <v>0.15</v>
      </c>
      <c r="J272" s="9" t="n">
        <v>1995.83</v>
      </c>
      <c r="K272" t="inlineStr">
        <is>
          <t>Distributor</t>
        </is>
      </c>
    </row>
    <row r="273">
      <c r="A273" t="inlineStr">
        <is>
          <t>ORD0260</t>
        </is>
      </c>
      <c r="B273" s="11" t="n">
        <v>45997</v>
      </c>
      <c r="C273" t="inlineStr">
        <is>
          <t>Thane</t>
        </is>
      </c>
      <c r="D273" t="inlineStr">
        <is>
          <t>North</t>
        </is>
      </c>
      <c r="E273" t="inlineStr">
        <is>
          <t>Pen Pack</t>
        </is>
      </c>
      <c r="F273" t="inlineStr">
        <is>
          <t>Stationery</t>
        </is>
      </c>
      <c r="G273" t="n">
        <v>3</v>
      </c>
      <c r="H273" s="9" t="n">
        <v>160.95</v>
      </c>
      <c r="I273" s="12" t="n">
        <v>0.15</v>
      </c>
      <c r="J273" s="9" t="n">
        <v>410.42</v>
      </c>
      <c r="K273" t="inlineStr">
        <is>
          <t>Distributor</t>
        </is>
      </c>
    </row>
    <row r="274">
      <c r="A274" t="inlineStr">
        <is>
          <t>ORD0205</t>
        </is>
      </c>
      <c r="B274" s="11" t="n">
        <v>45999</v>
      </c>
      <c r="C274" t="inlineStr">
        <is>
          <t>Thane</t>
        </is>
      </c>
      <c r="D274" t="inlineStr">
        <is>
          <t>South</t>
        </is>
      </c>
      <c r="E274" t="inlineStr">
        <is>
          <t>Notebook</t>
        </is>
      </c>
      <c r="F274" t="inlineStr">
        <is>
          <t>Stationery</t>
        </is>
      </c>
      <c r="G274" t="n">
        <v>2</v>
      </c>
      <c r="H274" s="9" t="n">
        <v>86.70999999999999</v>
      </c>
      <c r="I274" s="12" t="n">
        <v>0</v>
      </c>
      <c r="J274" s="9" t="n">
        <v>173.42</v>
      </c>
      <c r="K274" t="inlineStr">
        <is>
          <t>Online</t>
        </is>
      </c>
    </row>
    <row r="275">
      <c r="A275" t="inlineStr">
        <is>
          <t>ORD0094</t>
        </is>
      </c>
      <c r="B275" s="11" t="n">
        <v>46001</v>
      </c>
      <c r="C275" t="inlineStr">
        <is>
          <t>Nagpur</t>
        </is>
      </c>
      <c r="D275" t="inlineStr">
        <is>
          <t>North</t>
        </is>
      </c>
      <c r="E275" t="inlineStr">
        <is>
          <t>Monitor</t>
        </is>
      </c>
      <c r="F275" t="inlineStr">
        <is>
          <t>Electronics</t>
        </is>
      </c>
      <c r="G275" t="n">
        <v>4</v>
      </c>
      <c r="H275" s="9" t="n">
        <v>13360.96</v>
      </c>
      <c r="I275" s="12" t="n">
        <v>0.1</v>
      </c>
      <c r="J275" s="9" t="n">
        <v>48099.46</v>
      </c>
      <c r="K275" t="inlineStr">
        <is>
          <t>Retail</t>
        </is>
      </c>
    </row>
    <row r="276">
      <c r="A276" t="inlineStr">
        <is>
          <t>ORD0228</t>
        </is>
      </c>
      <c r="B276" s="11" t="n">
        <v>46001</v>
      </c>
      <c r="C276" t="inlineStr">
        <is>
          <t>Mumbai</t>
        </is>
      </c>
      <c r="D276" t="inlineStr">
        <is>
          <t>West</t>
        </is>
      </c>
      <c r="E276" t="inlineStr">
        <is>
          <t>Keyboard</t>
        </is>
      </c>
      <c r="F276" t="inlineStr">
        <is>
          <t>Accessories</t>
        </is>
      </c>
      <c r="G276" t="n">
        <v>3</v>
      </c>
      <c r="H276" s="9" t="n">
        <v>1200.43</v>
      </c>
      <c r="I276" s="12" t="n">
        <v>0.05</v>
      </c>
      <c r="J276" s="9" t="n">
        <v>3421.23</v>
      </c>
      <c r="K276" t="inlineStr">
        <is>
          <t>Retail</t>
        </is>
      </c>
    </row>
    <row r="277">
      <c r="A277" t="inlineStr">
        <is>
          <t>ORD0061</t>
        </is>
      </c>
      <c r="B277" s="11" t="n">
        <v>46002</v>
      </c>
      <c r="C277" t="inlineStr">
        <is>
          <t>Nagpur</t>
        </is>
      </c>
      <c r="D277" t="inlineStr">
        <is>
          <t>East</t>
        </is>
      </c>
      <c r="E277" t="inlineStr">
        <is>
          <t>Desk</t>
        </is>
      </c>
      <c r="F277" t="inlineStr">
        <is>
          <t>Furniture</t>
        </is>
      </c>
      <c r="G277" t="n">
        <v>3</v>
      </c>
      <c r="H277" s="9" t="n">
        <v>9581.02</v>
      </c>
      <c r="I277" s="12" t="n">
        <v>0.15</v>
      </c>
      <c r="J277" s="9" t="n">
        <v>24431.6</v>
      </c>
      <c r="K277" t="inlineStr">
        <is>
          <t>Distributor</t>
        </is>
      </c>
    </row>
    <row r="278">
      <c r="A278" t="inlineStr">
        <is>
          <t>ORD0001</t>
        </is>
      </c>
      <c r="B278" s="11" t="n">
        <v>46004</v>
      </c>
      <c r="C278" t="inlineStr">
        <is>
          <t>Delhi</t>
        </is>
      </c>
      <c r="D278" t="inlineStr">
        <is>
          <t>South</t>
        </is>
      </c>
      <c r="E278" t="inlineStr">
        <is>
          <t>Laptop</t>
        </is>
      </c>
      <c r="F278" t="inlineStr">
        <is>
          <t>Electronics</t>
        </is>
      </c>
      <c r="G278" t="n">
        <v>2</v>
      </c>
      <c r="H278" s="9" t="n">
        <v>52095.61</v>
      </c>
      <c r="I278" s="12" t="n">
        <v>0.1</v>
      </c>
      <c r="J278" s="9" t="n">
        <v>93772.10000000001</v>
      </c>
      <c r="K278" t="inlineStr">
        <is>
          <t>Distributor</t>
        </is>
      </c>
    </row>
    <row r="279">
      <c r="A279" t="inlineStr">
        <is>
          <t>ORD0025</t>
        </is>
      </c>
      <c r="B279" s="11" t="n">
        <v>46007</v>
      </c>
      <c r="C279" t="inlineStr">
        <is>
          <t>Pune</t>
        </is>
      </c>
      <c r="D279" t="inlineStr">
        <is>
          <t>South</t>
        </is>
      </c>
      <c r="E279" t="inlineStr">
        <is>
          <t>Keyboard</t>
        </is>
      </c>
      <c r="F279" t="inlineStr">
        <is>
          <t>Accessories</t>
        </is>
      </c>
      <c r="G279" t="n">
        <v>6</v>
      </c>
      <c r="H279" s="9" t="n">
        <v>1151.1</v>
      </c>
      <c r="I279" s="12" t="n">
        <v>0.15</v>
      </c>
      <c r="J279" s="9" t="n">
        <v>5870.61</v>
      </c>
      <c r="K279" t="inlineStr">
        <is>
          <t>Online</t>
        </is>
      </c>
    </row>
    <row r="280">
      <c r="A280" t="inlineStr">
        <is>
          <t>ORD0082</t>
        </is>
      </c>
      <c r="B280" s="11" t="n">
        <v>46007</v>
      </c>
      <c r="C280" t="inlineStr">
        <is>
          <t>Mumbai</t>
        </is>
      </c>
      <c r="D280" t="inlineStr">
        <is>
          <t>South</t>
        </is>
      </c>
      <c r="E280" t="inlineStr">
        <is>
          <t>Mouse</t>
        </is>
      </c>
      <c r="F280" t="inlineStr">
        <is>
          <t>Accessories</t>
        </is>
      </c>
      <c r="G280" t="n">
        <v>8</v>
      </c>
      <c r="H280" s="9" t="n">
        <v>691.9</v>
      </c>
      <c r="I280" s="12" t="n">
        <v>0.05</v>
      </c>
      <c r="J280" s="9" t="n">
        <v>5258.44</v>
      </c>
      <c r="K280" t="inlineStr">
        <is>
          <t>Online</t>
        </is>
      </c>
    </row>
    <row r="281">
      <c r="A281" t="inlineStr">
        <is>
          <t>ORD0111</t>
        </is>
      </c>
      <c r="B281" s="11" t="n">
        <v>46007</v>
      </c>
      <c r="C281" t="inlineStr">
        <is>
          <t>Mumbai</t>
        </is>
      </c>
      <c r="D281" t="inlineStr">
        <is>
          <t>South</t>
        </is>
      </c>
      <c r="E281" t="inlineStr">
        <is>
          <t>Keyboard</t>
        </is>
      </c>
      <c r="F281" t="inlineStr">
        <is>
          <t>Accessories</t>
        </is>
      </c>
      <c r="G281" t="n">
        <v>5</v>
      </c>
      <c r="H281" s="9" t="n">
        <v>1132.12</v>
      </c>
      <c r="I281" s="12" t="n">
        <v>0.05</v>
      </c>
      <c r="J281" s="9" t="n">
        <v>5377.57</v>
      </c>
      <c r="K281" t="inlineStr">
        <is>
          <t>Retail</t>
        </is>
      </c>
    </row>
    <row r="282">
      <c r="A282" t="inlineStr">
        <is>
          <t>ORD0012</t>
        </is>
      </c>
      <c r="B282" s="11" t="n">
        <v>46009</v>
      </c>
      <c r="C282" t="inlineStr">
        <is>
          <t>Chennai</t>
        </is>
      </c>
      <c r="D282" t="inlineStr">
        <is>
          <t>West</t>
        </is>
      </c>
      <c r="E282" t="inlineStr">
        <is>
          <t>Notebook</t>
        </is>
      </c>
      <c r="F282" t="inlineStr">
        <is>
          <t>Stationery</t>
        </is>
      </c>
      <c r="G282" t="n">
        <v>2</v>
      </c>
      <c r="H282" s="9" t="n">
        <v>89.47</v>
      </c>
      <c r="I282" s="12" t="n">
        <v>0.1</v>
      </c>
      <c r="J282" s="9" t="n">
        <v>161.05</v>
      </c>
      <c r="K282" t="inlineStr">
        <is>
          <t>Online</t>
        </is>
      </c>
    </row>
    <row r="283">
      <c r="A283" t="inlineStr">
        <is>
          <t>ORD0038</t>
        </is>
      </c>
      <c r="B283" s="11" t="n">
        <v>46010</v>
      </c>
      <c r="C283" t="inlineStr">
        <is>
          <t>Thane</t>
        </is>
      </c>
      <c r="D283" t="inlineStr">
        <is>
          <t>North</t>
        </is>
      </c>
      <c r="E283" t="inlineStr">
        <is>
          <t>Pen Pack</t>
        </is>
      </c>
      <c r="F283" t="inlineStr">
        <is>
          <t>Stationery</t>
        </is>
      </c>
      <c r="G283" t="n">
        <v>5</v>
      </c>
      <c r="H283" s="9" t="n">
        <v>146.94</v>
      </c>
      <c r="I283" s="12" t="n">
        <v>0.05</v>
      </c>
      <c r="J283" s="9" t="n">
        <v>697.97</v>
      </c>
      <c r="K283" t="inlineStr">
        <is>
          <t>Online</t>
        </is>
      </c>
    </row>
    <row r="284">
      <c r="A284" t="inlineStr">
        <is>
          <t>ORD0284</t>
        </is>
      </c>
      <c r="B284" s="11" t="n">
        <v>46010</v>
      </c>
      <c r="C284" t="inlineStr">
        <is>
          <t>Bengaluru</t>
        </is>
      </c>
      <c r="D284" t="inlineStr">
        <is>
          <t>South</t>
        </is>
      </c>
      <c r="E284" t="inlineStr">
        <is>
          <t>Desk</t>
        </is>
      </c>
      <c r="F284" t="inlineStr">
        <is>
          <t>Furniture</t>
        </is>
      </c>
      <c r="G284" t="n">
        <v>7</v>
      </c>
      <c r="H284" s="9" t="n">
        <v>9421.969999999999</v>
      </c>
      <c r="I284" s="12" t="n">
        <v>0</v>
      </c>
      <c r="J284" s="9" t="n">
        <v>65953.78999999999</v>
      </c>
      <c r="K284" t="inlineStr">
        <is>
          <t>Online</t>
        </is>
      </c>
    </row>
    <row r="285">
      <c r="A285" t="inlineStr">
        <is>
          <t>ORD0087</t>
        </is>
      </c>
      <c r="B285" s="11" t="n">
        <v>46010</v>
      </c>
      <c r="C285" t="inlineStr">
        <is>
          <t>Pune</t>
        </is>
      </c>
      <c r="D285" t="inlineStr">
        <is>
          <t>North</t>
        </is>
      </c>
      <c r="E285" t="inlineStr">
        <is>
          <t>Pen Pack</t>
        </is>
      </c>
      <c r="F285" t="inlineStr">
        <is>
          <t>Stationery</t>
        </is>
      </c>
      <c r="G285" t="n">
        <v>2</v>
      </c>
      <c r="H285" s="9" t="n">
        <v>139.28</v>
      </c>
      <c r="I285" s="12" t="n">
        <v>0</v>
      </c>
      <c r="J285" s="9" t="n">
        <v>278.56</v>
      </c>
      <c r="K285" t="inlineStr">
        <is>
          <t>Distributor</t>
        </is>
      </c>
    </row>
    <row r="286">
      <c r="A286" t="inlineStr">
        <is>
          <t>ORD0268</t>
        </is>
      </c>
      <c r="B286" s="11" t="n">
        <v>46011</v>
      </c>
      <c r="C286" t="inlineStr">
        <is>
          <t>Delhi</t>
        </is>
      </c>
      <c r="D286" t="inlineStr">
        <is>
          <t>East</t>
        </is>
      </c>
      <c r="E286" t="inlineStr">
        <is>
          <t>Keyboard</t>
        </is>
      </c>
      <c r="F286" t="inlineStr">
        <is>
          <t>Accessories</t>
        </is>
      </c>
      <c r="G286" t="n">
        <v>1</v>
      </c>
      <c r="H286" s="9" t="n">
        <v>1130.2</v>
      </c>
      <c r="I286" s="12" t="n">
        <v>0</v>
      </c>
      <c r="J286" s="9" t="n">
        <v>1130.2</v>
      </c>
      <c r="K286" t="inlineStr">
        <is>
          <t>Retail</t>
        </is>
      </c>
    </row>
    <row r="287">
      <c r="A287" t="inlineStr">
        <is>
          <t>ORD0280</t>
        </is>
      </c>
      <c r="B287" s="11" t="n">
        <v>46013</v>
      </c>
      <c r="C287" t="inlineStr">
        <is>
          <t>Nagpur</t>
        </is>
      </c>
      <c r="D287" t="inlineStr">
        <is>
          <t>South</t>
        </is>
      </c>
      <c r="E287" t="inlineStr">
        <is>
          <t>Headphones</t>
        </is>
      </c>
      <c r="F287" t="inlineStr">
        <is>
          <t>Electronics</t>
        </is>
      </c>
      <c r="G287" t="n">
        <v>4</v>
      </c>
      <c r="H287" s="9" t="n">
        <v>1701.42</v>
      </c>
      <c r="I287" s="12" t="n">
        <v>0.15</v>
      </c>
      <c r="J287" s="9" t="n">
        <v>5784.83</v>
      </c>
      <c r="K287" t="inlineStr">
        <is>
          <t>Retail</t>
        </is>
      </c>
    </row>
    <row r="288">
      <c r="A288" t="inlineStr">
        <is>
          <t>ORD0108</t>
        </is>
      </c>
      <c r="B288" s="11" t="n">
        <v>46013</v>
      </c>
      <c r="C288" t="inlineStr">
        <is>
          <t>Thane</t>
        </is>
      </c>
      <c r="D288" t="inlineStr">
        <is>
          <t>East</t>
        </is>
      </c>
      <c r="E288" t="inlineStr">
        <is>
          <t>Keyboard</t>
        </is>
      </c>
      <c r="F288" t="inlineStr">
        <is>
          <t>Accessories</t>
        </is>
      </c>
      <c r="G288" t="n">
        <v>8</v>
      </c>
      <c r="H288" s="9" t="n">
        <v>1157.79</v>
      </c>
      <c r="I288" s="12" t="n">
        <v>0</v>
      </c>
      <c r="J288" s="9" t="n">
        <v>9262.32</v>
      </c>
      <c r="K288" t="inlineStr">
        <is>
          <t>Distributor</t>
        </is>
      </c>
    </row>
    <row r="289">
      <c r="A289" t="inlineStr">
        <is>
          <t>ORD0300</t>
        </is>
      </c>
      <c r="B289" s="11" t="n">
        <v>46015</v>
      </c>
      <c r="C289" t="inlineStr">
        <is>
          <t>Chennai</t>
        </is>
      </c>
      <c r="D289" t="inlineStr">
        <is>
          <t>South</t>
        </is>
      </c>
      <c r="E289" t="inlineStr">
        <is>
          <t>USB Drive</t>
        </is>
      </c>
      <c r="F289" t="inlineStr">
        <is>
          <t>Accessories</t>
        </is>
      </c>
      <c r="G289" t="n">
        <v>7</v>
      </c>
      <c r="H289" s="9" t="n">
        <v>537.64</v>
      </c>
      <c r="I289" s="12" t="n">
        <v>0.1</v>
      </c>
      <c r="J289" s="9" t="n">
        <v>3387.13</v>
      </c>
      <c r="K289" t="inlineStr">
        <is>
          <t>Distributor</t>
        </is>
      </c>
    </row>
    <row r="290">
      <c r="A290" t="inlineStr">
        <is>
          <t>ORD0100</t>
        </is>
      </c>
      <c r="B290" s="11" t="n">
        <v>46016</v>
      </c>
      <c r="C290" t="inlineStr">
        <is>
          <t>Bengaluru</t>
        </is>
      </c>
      <c r="D290" t="inlineStr">
        <is>
          <t>South</t>
        </is>
      </c>
      <c r="E290" t="inlineStr">
        <is>
          <t>Desk</t>
        </is>
      </c>
      <c r="F290" t="inlineStr">
        <is>
          <t>Furniture</t>
        </is>
      </c>
      <c r="G290" t="n">
        <v>3</v>
      </c>
      <c r="H290" s="9" t="n">
        <v>9623.41</v>
      </c>
      <c r="I290" s="12" t="n">
        <v>0.05</v>
      </c>
      <c r="J290" s="9" t="n">
        <v>27426.72</v>
      </c>
      <c r="K290" t="inlineStr">
        <is>
          <t>Distributor</t>
        </is>
      </c>
    </row>
    <row r="291">
      <c r="A291" t="inlineStr">
        <is>
          <t>ORD0258</t>
        </is>
      </c>
      <c r="B291" s="11" t="n">
        <v>46016</v>
      </c>
      <c r="C291" t="inlineStr">
        <is>
          <t>Delhi</t>
        </is>
      </c>
      <c r="D291" t="inlineStr">
        <is>
          <t>East</t>
        </is>
      </c>
      <c r="E291" t="inlineStr">
        <is>
          <t>Headphones</t>
        </is>
      </c>
      <c r="F291" t="inlineStr">
        <is>
          <t>Electronics</t>
        </is>
      </c>
      <c r="G291" t="n">
        <v>2</v>
      </c>
      <c r="H291" s="9" t="n">
        <v>1815.16</v>
      </c>
      <c r="I291" s="12" t="n">
        <v>0.05</v>
      </c>
      <c r="J291" s="9" t="n">
        <v>3448.8</v>
      </c>
      <c r="K291" t="inlineStr">
        <is>
          <t>Online</t>
        </is>
      </c>
    </row>
    <row r="292">
      <c r="A292" t="inlineStr">
        <is>
          <t>ORD0189</t>
        </is>
      </c>
      <c r="B292" s="11" t="n">
        <v>46016</v>
      </c>
      <c r="C292" t="inlineStr">
        <is>
          <t>Nagpur</t>
        </is>
      </c>
      <c r="D292" t="inlineStr">
        <is>
          <t>South</t>
        </is>
      </c>
      <c r="E292" t="inlineStr">
        <is>
          <t>Office Chair</t>
        </is>
      </c>
      <c r="F292" t="inlineStr">
        <is>
          <t>Furniture</t>
        </is>
      </c>
      <c r="G292" t="n">
        <v>2</v>
      </c>
      <c r="H292" s="9" t="n">
        <v>7863.01</v>
      </c>
      <c r="I292" s="12" t="n">
        <v>0.05</v>
      </c>
      <c r="J292" s="9" t="n">
        <v>14939.72</v>
      </c>
      <c r="K292" t="inlineStr">
        <is>
          <t>Distributor</t>
        </is>
      </c>
    </row>
    <row r="293">
      <c r="A293" t="inlineStr">
        <is>
          <t>ORD0144</t>
        </is>
      </c>
      <c r="B293" s="11" t="n">
        <v>46016</v>
      </c>
      <c r="C293" t="inlineStr">
        <is>
          <t>Thane</t>
        </is>
      </c>
      <c r="D293" t="inlineStr">
        <is>
          <t>South</t>
        </is>
      </c>
      <c r="E293" t="inlineStr">
        <is>
          <t>Office Chair</t>
        </is>
      </c>
      <c r="F293" t="inlineStr">
        <is>
          <t>Furniture</t>
        </is>
      </c>
      <c r="G293" t="n">
        <v>6</v>
      </c>
      <c r="H293" s="9" t="n">
        <v>8143.82</v>
      </c>
      <c r="I293" s="12" t="n">
        <v>0.05</v>
      </c>
      <c r="J293" s="9" t="n">
        <v>46419.77</v>
      </c>
      <c r="K293" t="inlineStr">
        <is>
          <t>Online</t>
        </is>
      </c>
    </row>
    <row r="294">
      <c r="A294" t="inlineStr">
        <is>
          <t>ORD0179</t>
        </is>
      </c>
      <c r="B294" s="11" t="n">
        <v>46017</v>
      </c>
      <c r="C294" t="inlineStr">
        <is>
          <t>Bengaluru</t>
        </is>
      </c>
      <c r="D294" t="inlineStr">
        <is>
          <t>East</t>
        </is>
      </c>
      <c r="E294" t="inlineStr">
        <is>
          <t>Notebook</t>
        </is>
      </c>
      <c r="F294" t="inlineStr">
        <is>
          <t>Stationery</t>
        </is>
      </c>
      <c r="G294" t="n">
        <v>5</v>
      </c>
      <c r="H294" s="9" t="n">
        <v>89.2</v>
      </c>
      <c r="I294" s="12" t="n">
        <v>0.05</v>
      </c>
      <c r="J294" s="9" t="n">
        <v>423.7</v>
      </c>
      <c r="K294" t="inlineStr">
        <is>
          <t>Online</t>
        </is>
      </c>
    </row>
    <row r="295">
      <c r="A295" t="inlineStr">
        <is>
          <t>ORD0049</t>
        </is>
      </c>
      <c r="B295" s="11" t="n">
        <v>46017</v>
      </c>
      <c r="C295" t="inlineStr">
        <is>
          <t>Mumbai</t>
        </is>
      </c>
      <c r="D295" t="inlineStr">
        <is>
          <t>South</t>
        </is>
      </c>
      <c r="E295" t="inlineStr">
        <is>
          <t>Notebook</t>
        </is>
      </c>
      <c r="F295" t="inlineStr">
        <is>
          <t>Stationery</t>
        </is>
      </c>
      <c r="G295" t="n">
        <v>4</v>
      </c>
      <c r="H295" s="9" t="n">
        <v>86.20999999999999</v>
      </c>
      <c r="I295" s="12" t="n">
        <v>0</v>
      </c>
      <c r="J295" s="9" t="n">
        <v>344.84</v>
      </c>
      <c r="K295" t="inlineStr">
        <is>
          <t>Distributor</t>
        </is>
      </c>
    </row>
    <row r="296">
      <c r="A296" t="inlineStr">
        <is>
          <t>ORD0282</t>
        </is>
      </c>
      <c r="B296" s="11" t="n">
        <v>46017</v>
      </c>
      <c r="C296" t="inlineStr">
        <is>
          <t>Nagpur</t>
        </is>
      </c>
      <c r="D296" t="inlineStr">
        <is>
          <t>North</t>
        </is>
      </c>
      <c r="E296" t="inlineStr">
        <is>
          <t>Headphones</t>
        </is>
      </c>
      <c r="F296" t="inlineStr">
        <is>
          <t>Electronics</t>
        </is>
      </c>
      <c r="G296" t="n">
        <v>5</v>
      </c>
      <c r="H296" s="9" t="n">
        <v>1884.43</v>
      </c>
      <c r="I296" s="12" t="n">
        <v>0.15</v>
      </c>
      <c r="J296" s="9" t="n">
        <v>8008.83</v>
      </c>
      <c r="K296" t="inlineStr">
        <is>
          <t>Distributor</t>
        </is>
      </c>
    </row>
    <row r="297">
      <c r="A297" t="inlineStr">
        <is>
          <t>ORD0201</t>
        </is>
      </c>
      <c r="B297" s="11" t="n">
        <v>46017</v>
      </c>
      <c r="C297" t="inlineStr">
        <is>
          <t>Nagpur</t>
        </is>
      </c>
      <c r="D297" t="inlineStr">
        <is>
          <t>West</t>
        </is>
      </c>
      <c r="E297" t="inlineStr">
        <is>
          <t>Desk</t>
        </is>
      </c>
      <c r="F297" t="inlineStr">
        <is>
          <t>Furniture</t>
        </is>
      </c>
      <c r="G297" t="n">
        <v>7</v>
      </c>
      <c r="H297" s="9" t="n">
        <v>9192.559999999999</v>
      </c>
      <c r="I297" s="12" t="n">
        <v>0</v>
      </c>
      <c r="J297" s="9" t="n">
        <v>64347.92</v>
      </c>
      <c r="K297" t="inlineStr">
        <is>
          <t>Retail</t>
        </is>
      </c>
    </row>
    <row r="298">
      <c r="A298" t="inlineStr">
        <is>
          <t>ORD0135</t>
        </is>
      </c>
      <c r="B298" s="11" t="n">
        <v>46021</v>
      </c>
      <c r="C298" t="inlineStr">
        <is>
          <t>Nagpur</t>
        </is>
      </c>
      <c r="D298" t="inlineStr">
        <is>
          <t>North</t>
        </is>
      </c>
      <c r="E298" t="inlineStr">
        <is>
          <t>Mouse</t>
        </is>
      </c>
      <c r="F298" t="inlineStr">
        <is>
          <t>Accessories</t>
        </is>
      </c>
      <c r="G298" t="n">
        <v>3</v>
      </c>
      <c r="H298" s="9" t="n">
        <v>627.4299999999999</v>
      </c>
      <c r="I298" s="12" t="n">
        <v>0</v>
      </c>
      <c r="J298" s="9" t="n">
        <v>1882.29</v>
      </c>
      <c r="K298" t="inlineStr">
        <is>
          <t>Online</t>
        </is>
      </c>
    </row>
    <row r="299">
      <c r="A299" t="inlineStr">
        <is>
          <t>ORD0159</t>
        </is>
      </c>
      <c r="B299" s="11" t="n">
        <v>46022</v>
      </c>
      <c r="C299" t="inlineStr">
        <is>
          <t>Nagpur</t>
        </is>
      </c>
      <c r="D299" t="inlineStr">
        <is>
          <t>North</t>
        </is>
      </c>
      <c r="E299" t="inlineStr">
        <is>
          <t>Keyboard</t>
        </is>
      </c>
      <c r="F299" t="inlineStr">
        <is>
          <t>Accessories</t>
        </is>
      </c>
      <c r="G299" t="n">
        <v>2</v>
      </c>
      <c r="H299" s="9" t="n">
        <v>1242.09</v>
      </c>
      <c r="I299" s="12" t="n">
        <v>0.1</v>
      </c>
      <c r="J299" s="9" t="n">
        <v>2235.76</v>
      </c>
      <c r="K299" t="inlineStr">
        <is>
          <t>Retail</t>
        </is>
      </c>
    </row>
    <row r="300">
      <c r="A300" t="inlineStr">
        <is>
          <t>ORD0165</t>
        </is>
      </c>
      <c r="B300" s="11" t="n">
        <v>46022</v>
      </c>
      <c r="C300" t="inlineStr">
        <is>
          <t>Chennai</t>
        </is>
      </c>
      <c r="D300" t="inlineStr">
        <is>
          <t>North</t>
        </is>
      </c>
      <c r="E300" t="inlineStr">
        <is>
          <t>Notebook</t>
        </is>
      </c>
      <c r="F300" t="inlineStr">
        <is>
          <t>Stationery</t>
        </is>
      </c>
      <c r="G300" t="n">
        <v>6</v>
      </c>
      <c r="H300" s="9" t="n">
        <v>86.51000000000001</v>
      </c>
      <c r="I300" s="12" t="n">
        <v>0</v>
      </c>
      <c r="J300" s="9" t="n">
        <v>519.0599999999999</v>
      </c>
      <c r="K300" t="inlineStr">
        <is>
          <t>Retail</t>
        </is>
      </c>
    </row>
    <row r="301">
      <c r="A301" t="inlineStr">
        <is>
          <t>ORD0218</t>
        </is>
      </c>
      <c r="B301" s="11" t="n">
        <v>46022</v>
      </c>
      <c r="C301" t="inlineStr">
        <is>
          <t>Thane</t>
        </is>
      </c>
      <c r="D301" t="inlineStr">
        <is>
          <t>West</t>
        </is>
      </c>
      <c r="E301" t="inlineStr">
        <is>
          <t>Desk</t>
        </is>
      </c>
      <c r="F301" t="inlineStr">
        <is>
          <t>Furniture</t>
        </is>
      </c>
      <c r="G301" t="n">
        <v>2</v>
      </c>
      <c r="H301" s="9" t="n">
        <v>9160.99</v>
      </c>
      <c r="I301" s="12" t="n">
        <v>0</v>
      </c>
      <c r="J301" s="9" t="n">
        <v>18321.98</v>
      </c>
      <c r="K301" t="inlineStr">
        <is>
          <t>Retail</t>
        </is>
      </c>
    </row>
  </sheetData>
  <autoFilter ref="A1:K3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5" customWidth="1" min="2" max="2"/>
  </cols>
  <sheetData>
    <row r="1">
      <c r="A1" s="13" t="inlineStr">
        <is>
          <t>SALES DATA ANALYSIS DASHBOARD — BEGINNER PROJECT</t>
        </is>
      </c>
      <c r="B1" s="13" t="n"/>
    </row>
    <row r="2">
      <c r="A2" s="14" t="inlineStr">
        <is>
          <t>Project objective</t>
        </is>
      </c>
      <c r="B2" s="15" t="inlineStr">
        <is>
          <t>Analyze 300 sample sales transactions and identify sales trends and performance.</t>
        </is>
      </c>
    </row>
    <row r="3">
      <c r="A3" s="16" t="inlineStr">
        <is>
          <t>Dataset note</t>
        </is>
      </c>
      <c r="B3" s="17" t="inlineStr">
        <is>
          <t>This is synthetic practice data, not real company data.</t>
        </is>
      </c>
    </row>
    <row r="4">
      <c r="A4" s="14" t="inlineStr">
        <is>
          <t>Step 1 — Explore</t>
        </is>
      </c>
      <c r="B4" s="15" t="inlineStr">
        <is>
          <t>Open Sales Data. Filter columns and inspect dates, products, categories, regions, and sales channels.</t>
        </is>
      </c>
    </row>
    <row r="5">
      <c r="A5" s="16" t="inlineStr">
        <is>
          <t>Step 2 — Check quality</t>
        </is>
      </c>
      <c r="B5" s="17" t="inlineStr">
        <is>
          <t>Use Data &gt; Remove Duplicates on Order ID only if duplicate IDs exist. Check blank cells and date/number formats.</t>
        </is>
      </c>
    </row>
    <row r="6">
      <c r="A6" s="14" t="inlineStr">
        <is>
          <t>Step 3 — Add a calculated column (optional)</t>
        </is>
      </c>
      <c r="B6" s="15" t="inlineStr">
        <is>
          <t>Add a new column called Gross Sales and use =G2*H2. Revenue already reflects the discount in this sample.</t>
        </is>
      </c>
    </row>
    <row r="7">
      <c r="A7" s="16" t="inlineStr">
        <is>
          <t>Step 4 — Create PivotTable</t>
        </is>
      </c>
      <c r="B7" s="17" t="inlineStr">
        <is>
          <t>Select a cell in Sales Data &gt; Insert &gt; PivotTable &gt; New Worksheet.</t>
        </is>
      </c>
    </row>
    <row r="8">
      <c r="A8" s="14" t="inlineStr">
        <is>
          <t>Step 5 — Category analysis</t>
        </is>
      </c>
      <c r="B8" s="15" t="inlineStr">
        <is>
          <t>Drag Category to Rows and Revenue (₹) to Values. Make sure Values is set to Sum.</t>
        </is>
      </c>
    </row>
    <row r="9">
      <c r="A9" s="16" t="inlineStr">
        <is>
          <t>Step 6 — Monthly trend</t>
        </is>
      </c>
      <c r="B9" s="17" t="inlineStr">
        <is>
          <t>Add a Month column in Sales Data with =TEXT(B2,"mmm") for quick practice, or group Order Date by Months in a PivotTable.</t>
        </is>
      </c>
    </row>
    <row r="10">
      <c r="A10" s="14" t="inlineStr">
        <is>
          <t>Step 7 — Region analysis</t>
        </is>
      </c>
      <c r="B10" s="15" t="inlineStr">
        <is>
          <t>Create a PivotTable with Region in Rows and Revenue (₹) in Values.</t>
        </is>
      </c>
    </row>
    <row r="11">
      <c r="A11" s="16" t="inlineStr">
        <is>
          <t>Step 8 — Add charts</t>
        </is>
      </c>
      <c r="B11" s="17" t="inlineStr">
        <is>
          <t>Select a PivotTable and choose Insert &gt; PivotChart. Use a bar/column chart for category or region; line chart for monthly trends.</t>
        </is>
      </c>
    </row>
    <row r="12">
      <c r="A12" s="14" t="inlineStr">
        <is>
          <t>Step 9 — Dashboard</t>
        </is>
      </c>
      <c r="B12" s="15" t="inlineStr">
        <is>
          <t>Create a new sheet named Dashboard. Add KPI cells for total revenue, total orders, units sold, and average order value.</t>
        </is>
      </c>
    </row>
    <row r="13">
      <c r="A13" s="16" t="inlineStr">
        <is>
          <t>Useful formulas</t>
        </is>
      </c>
      <c r="B13" s="17" t="inlineStr">
        <is>
          <t>Total revenue: =SUM('Sales Data'!J2:J301)</t>
        </is>
      </c>
    </row>
    <row r="14">
      <c r="A14" s="14" t="inlineStr"/>
      <c r="B14" s="15" t="inlineStr">
        <is>
          <t>Order count: =COUNTA('Sales Data'!A2:A301)</t>
        </is>
      </c>
    </row>
    <row r="15">
      <c r="A15" s="16" t="inlineStr"/>
      <c r="B15" s="17" t="inlineStr">
        <is>
          <t>Units sold: =SUM('Sales Data'!G2:G301)</t>
        </is>
      </c>
    </row>
    <row r="16">
      <c r="A16" s="14" t="inlineStr"/>
      <c r="B16" s="15" t="inlineStr">
        <is>
          <t>Average order revenue: =AVERAGE('Sales Data'!J2:J301)</t>
        </is>
      </c>
    </row>
    <row r="17">
      <c r="A17" s="16" t="inlineStr">
        <is>
          <t>Step 10 — Make interactive</t>
        </is>
      </c>
      <c r="B17" s="17" t="inlineStr">
        <is>
          <t>If supported, add slicers to PivotTables for Region, Category, and Sales Channel. Connect slicers to relevant PivotTables.</t>
        </is>
      </c>
    </row>
    <row r="18">
      <c r="A18" s="14" t="inlineStr">
        <is>
          <t>Interview explanation</t>
        </is>
      </c>
      <c r="B18" s="15" t="inlineStr">
        <is>
          <t>I analyzed a sample sales dataset in Excel, checked data quality, summarized revenue by category and region, reviewed trends over time, and designed a dashboard to support business decisions.</t>
        </is>
      </c>
    </row>
    <row r="19">
      <c r="A19" s="16" t="inlineStr">
        <is>
          <t>Important</t>
        </is>
      </c>
      <c r="B19" s="17" t="inlineStr">
        <is>
          <t>Do not claim findings from the sample as real-world company results. Refresh PivotTables after editing the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2026-10-12T13:08:36Z</dcterms:created>
  <dcterms:modified xmlns:dcterms="http://purl.org/dc/terms/" xmlns:xsi="http://www.w3.org/2001/XMLSchema-instance" xsi:type="dcterms:W3CDTF">2026-10-12T13:08:36Z</dcterms:modified>
</cp:coreProperties>
</file>